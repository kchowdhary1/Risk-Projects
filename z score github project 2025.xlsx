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/>
  <mc:AlternateContent xmlns:mc="http://schemas.openxmlformats.org/markup-compatibility/2006">
    <mc:Choice Requires="x15">
      <x15ac:absPath xmlns:x15ac="http://schemas.microsoft.com/office/spreadsheetml/2010/11/ac" url="C:\Users\anany\Downloads\"/>
    </mc:Choice>
  </mc:AlternateContent>
  <xr:revisionPtr revIDLastSave="0" documentId="8_{ADD210CA-1EA1-4203-AB0A-42B00FDFD5DD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TOPIC" sheetId="4" r:id="rId1"/>
    <sheet name="Raw data" sheetId="1" r:id="rId2"/>
    <sheet name="Forcasts_MEV" sheetId="2" r:id="rId3"/>
    <sheet name="Z( Systematic factor)" sheetId="3" r:id="rId4"/>
  </sheets>
  <definedNames>
    <definedName name="solver_adj" localSheetId="3" hidden="1">'Z( Systematic factor)'!$AE$32:$AE$99</definedName>
    <definedName name="solver_cvg" localSheetId="3" hidden="1">0.0001</definedName>
    <definedName name="solver_drv" localSheetId="3" hidden="1">1</definedName>
    <definedName name="solver_eng" localSheetId="3" hidden="1">1</definedName>
    <definedName name="solver_est" localSheetId="3" hidden="1">1</definedName>
    <definedName name="solver_itr" localSheetId="3" hidden="1">2147483647</definedName>
    <definedName name="solver_lhs1" localSheetId="3" hidden="1">'Z( Systematic factor)'!$G$4:$G$71</definedName>
    <definedName name="solver_mip" localSheetId="3" hidden="1">2147483647</definedName>
    <definedName name="solver_mni" localSheetId="3" hidden="1">30</definedName>
    <definedName name="solver_mrt" localSheetId="3" hidden="1">0.075</definedName>
    <definedName name="solver_msl" localSheetId="3" hidden="1">2</definedName>
    <definedName name="solver_neg" localSheetId="3" hidden="1">2</definedName>
    <definedName name="solver_nod" localSheetId="3" hidden="1">2147483647</definedName>
    <definedName name="solver_num" localSheetId="3" hidden="1">0</definedName>
    <definedName name="solver_nwt" localSheetId="3" hidden="1">1</definedName>
    <definedName name="solver_opt" localSheetId="3" hidden="1">'Z( Systematic factor)'!$AH$29</definedName>
    <definedName name="solver_pre" localSheetId="3" hidden="1">0.000001</definedName>
    <definedName name="solver_rbv" localSheetId="3" hidden="1">1</definedName>
    <definedName name="solver_rel1" localSheetId="3" hidden="1">4</definedName>
    <definedName name="solver_rhs1" localSheetId="3" hidden="1">"integer"</definedName>
    <definedName name="solver_rlx" localSheetId="3" hidden="1">2</definedName>
    <definedName name="solver_rsd" localSheetId="3" hidden="1">0</definedName>
    <definedName name="solver_scl" localSheetId="3" hidden="1">1</definedName>
    <definedName name="solver_sho" localSheetId="3" hidden="1">2</definedName>
    <definedName name="solver_ssz" localSheetId="3" hidden="1">100</definedName>
    <definedName name="solver_tim" localSheetId="3" hidden="1">2147483647</definedName>
    <definedName name="solver_tol" localSheetId="3" hidden="1">0.01</definedName>
    <definedName name="solver_typ" localSheetId="3" hidden="1">3</definedName>
    <definedName name="solver_val" localSheetId="3" hidden="1">0</definedName>
    <definedName name="solver_ver" localSheetId="3" hidden="1">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G29" i="3" l="1"/>
  <c r="AG28" i="3"/>
  <c r="AC32" i="3"/>
  <c r="L3" i="3" l="1"/>
  <c r="AC33" i="3"/>
  <c r="AC34" i="3"/>
  <c r="AC35" i="3"/>
  <c r="AC36" i="3"/>
  <c r="AC37" i="3"/>
  <c r="AC38" i="3"/>
  <c r="AC39" i="3"/>
  <c r="AC40" i="3"/>
  <c r="AC41" i="3"/>
  <c r="AC42" i="3"/>
  <c r="AC43" i="3"/>
  <c r="AC44" i="3"/>
  <c r="AC45" i="3"/>
  <c r="AC46" i="3"/>
  <c r="AC47" i="3"/>
  <c r="AC48" i="3"/>
  <c r="AC49" i="3"/>
  <c r="AC50" i="3"/>
  <c r="AC51" i="3"/>
  <c r="AC52" i="3"/>
  <c r="AC53" i="3"/>
  <c r="AC54" i="3"/>
  <c r="AC55" i="3"/>
  <c r="AC56" i="3"/>
  <c r="AC57" i="3"/>
  <c r="AC58" i="3"/>
  <c r="AC59" i="3"/>
  <c r="AC60" i="3"/>
  <c r="AC61" i="3"/>
  <c r="AC62" i="3"/>
  <c r="AC63" i="3"/>
  <c r="AC64" i="3"/>
  <c r="AC65" i="3"/>
  <c r="AC66" i="3"/>
  <c r="AC67" i="3"/>
  <c r="AC68" i="3"/>
  <c r="AC69" i="3"/>
  <c r="AC70" i="3"/>
  <c r="AC71" i="3"/>
  <c r="AC72" i="3"/>
  <c r="AC73" i="3"/>
  <c r="AC74" i="3"/>
  <c r="AC75" i="3"/>
  <c r="AC76" i="3"/>
  <c r="AC77" i="3"/>
  <c r="AC78" i="3"/>
  <c r="AC79" i="3"/>
  <c r="AC80" i="3"/>
  <c r="AC81" i="3"/>
  <c r="AC82" i="3"/>
  <c r="AC83" i="3"/>
  <c r="AC84" i="3"/>
  <c r="AC85" i="3"/>
  <c r="AC86" i="3"/>
  <c r="AC87" i="3"/>
  <c r="AC88" i="3"/>
  <c r="AC89" i="3"/>
  <c r="AC90" i="3"/>
  <c r="AC91" i="3"/>
  <c r="AC92" i="3"/>
  <c r="AC93" i="3"/>
  <c r="AC94" i="3"/>
  <c r="AC95" i="3"/>
  <c r="AC96" i="3"/>
  <c r="AC97" i="3"/>
  <c r="AC98" i="3"/>
  <c r="AC99" i="3"/>
  <c r="P5" i="3" l="1"/>
  <c r="Q5" i="3"/>
  <c r="R5" i="3"/>
  <c r="P6" i="3"/>
  <c r="Q6" i="3"/>
  <c r="R6" i="3"/>
  <c r="P7" i="3"/>
  <c r="Q7" i="3"/>
  <c r="R7" i="3"/>
  <c r="P8" i="3"/>
  <c r="Q8" i="3"/>
  <c r="R8" i="3"/>
  <c r="P9" i="3"/>
  <c r="Q9" i="3"/>
  <c r="R9" i="3"/>
  <c r="P10" i="3"/>
  <c r="Q10" i="3"/>
  <c r="R10" i="3"/>
  <c r="P11" i="3"/>
  <c r="Q11" i="3"/>
  <c r="R11" i="3"/>
  <c r="P12" i="3"/>
  <c r="Q12" i="3"/>
  <c r="R12" i="3"/>
  <c r="P13" i="3"/>
  <c r="Q13" i="3"/>
  <c r="R13" i="3"/>
  <c r="P14" i="3"/>
  <c r="Q14" i="3"/>
  <c r="R14" i="3"/>
  <c r="P15" i="3"/>
  <c r="Q15" i="3"/>
  <c r="R15" i="3"/>
  <c r="P16" i="3"/>
  <c r="Q16" i="3"/>
  <c r="R16" i="3"/>
  <c r="P17" i="3"/>
  <c r="Q17" i="3"/>
  <c r="R17" i="3"/>
  <c r="P18" i="3"/>
  <c r="Q18" i="3"/>
  <c r="R18" i="3"/>
  <c r="P19" i="3"/>
  <c r="Q19" i="3"/>
  <c r="R19" i="3"/>
  <c r="P20" i="3"/>
  <c r="Q20" i="3"/>
  <c r="R20" i="3"/>
  <c r="P21" i="3"/>
  <c r="Q21" i="3"/>
  <c r="R21" i="3"/>
  <c r="P22" i="3"/>
  <c r="Q22" i="3"/>
  <c r="R22" i="3"/>
  <c r="P23" i="3"/>
  <c r="Q23" i="3"/>
  <c r="R23" i="3"/>
  <c r="P24" i="3"/>
  <c r="Q24" i="3"/>
  <c r="R24" i="3"/>
  <c r="P25" i="3"/>
  <c r="Q25" i="3"/>
  <c r="R25" i="3"/>
  <c r="P26" i="3"/>
  <c r="Q26" i="3"/>
  <c r="R26" i="3"/>
  <c r="P27" i="3"/>
  <c r="Q27" i="3"/>
  <c r="R27" i="3"/>
  <c r="P28" i="3"/>
  <c r="Q28" i="3"/>
  <c r="R28" i="3"/>
  <c r="P29" i="3"/>
  <c r="Q29" i="3"/>
  <c r="R29" i="3"/>
  <c r="P30" i="3"/>
  <c r="Q30" i="3"/>
  <c r="R30" i="3"/>
  <c r="P31" i="3"/>
  <c r="Q31" i="3"/>
  <c r="R31" i="3"/>
  <c r="P32" i="3"/>
  <c r="Q32" i="3"/>
  <c r="R32" i="3"/>
  <c r="P33" i="3"/>
  <c r="Q33" i="3"/>
  <c r="R33" i="3"/>
  <c r="P34" i="3"/>
  <c r="Q34" i="3"/>
  <c r="R34" i="3"/>
  <c r="P35" i="3"/>
  <c r="Q35" i="3"/>
  <c r="R35" i="3"/>
  <c r="P36" i="3"/>
  <c r="Q36" i="3"/>
  <c r="R36" i="3"/>
  <c r="P37" i="3"/>
  <c r="Q37" i="3"/>
  <c r="R37" i="3"/>
  <c r="P38" i="3"/>
  <c r="Q38" i="3"/>
  <c r="R38" i="3"/>
  <c r="P39" i="3"/>
  <c r="Q39" i="3"/>
  <c r="R39" i="3"/>
  <c r="P40" i="3"/>
  <c r="Q40" i="3"/>
  <c r="R40" i="3"/>
  <c r="P41" i="3"/>
  <c r="Q41" i="3"/>
  <c r="R41" i="3"/>
  <c r="P42" i="3"/>
  <c r="Q42" i="3"/>
  <c r="R42" i="3"/>
  <c r="P43" i="3"/>
  <c r="Q43" i="3"/>
  <c r="R43" i="3"/>
  <c r="P44" i="3"/>
  <c r="Q44" i="3"/>
  <c r="R44" i="3"/>
  <c r="P45" i="3"/>
  <c r="Q45" i="3"/>
  <c r="R45" i="3"/>
  <c r="P46" i="3"/>
  <c r="Q46" i="3"/>
  <c r="R46" i="3"/>
  <c r="P47" i="3"/>
  <c r="Q47" i="3"/>
  <c r="R47" i="3"/>
  <c r="P48" i="3"/>
  <c r="Q48" i="3"/>
  <c r="R48" i="3"/>
  <c r="P49" i="3"/>
  <c r="Q49" i="3"/>
  <c r="R49" i="3"/>
  <c r="P50" i="3"/>
  <c r="Q50" i="3"/>
  <c r="R50" i="3"/>
  <c r="P51" i="3"/>
  <c r="Q51" i="3"/>
  <c r="R51" i="3"/>
  <c r="P52" i="3"/>
  <c r="Q52" i="3"/>
  <c r="R52" i="3"/>
  <c r="P53" i="3"/>
  <c r="Q53" i="3"/>
  <c r="R53" i="3"/>
  <c r="P54" i="3"/>
  <c r="Q54" i="3"/>
  <c r="R54" i="3"/>
  <c r="P55" i="3"/>
  <c r="Q55" i="3"/>
  <c r="R55" i="3"/>
  <c r="P56" i="3"/>
  <c r="Q56" i="3"/>
  <c r="R56" i="3"/>
  <c r="P57" i="3"/>
  <c r="Q57" i="3"/>
  <c r="R57" i="3"/>
  <c r="P58" i="3"/>
  <c r="Q58" i="3"/>
  <c r="R58" i="3"/>
  <c r="P59" i="3"/>
  <c r="Q59" i="3"/>
  <c r="R59" i="3"/>
  <c r="P60" i="3"/>
  <c r="Q60" i="3"/>
  <c r="R60" i="3"/>
  <c r="P61" i="3"/>
  <c r="Q61" i="3"/>
  <c r="R61" i="3"/>
  <c r="P62" i="3"/>
  <c r="Q62" i="3"/>
  <c r="R62" i="3"/>
  <c r="P63" i="3"/>
  <c r="Q63" i="3"/>
  <c r="R63" i="3"/>
  <c r="P64" i="3"/>
  <c r="Q64" i="3"/>
  <c r="R64" i="3"/>
  <c r="P65" i="3"/>
  <c r="Q65" i="3"/>
  <c r="R65" i="3"/>
  <c r="P66" i="3"/>
  <c r="Q66" i="3"/>
  <c r="R66" i="3"/>
  <c r="P67" i="3"/>
  <c r="Q67" i="3"/>
  <c r="R67" i="3"/>
  <c r="P68" i="3"/>
  <c r="Q68" i="3"/>
  <c r="R68" i="3"/>
  <c r="P69" i="3"/>
  <c r="Q69" i="3"/>
  <c r="R69" i="3"/>
  <c r="P70" i="3"/>
  <c r="Q70" i="3"/>
  <c r="R70" i="3"/>
  <c r="P71" i="3"/>
  <c r="Q71" i="3"/>
  <c r="R71" i="3"/>
  <c r="R4" i="3"/>
  <c r="Q4" i="3"/>
  <c r="P4" i="3"/>
  <c r="F7" i="3"/>
  <c r="O5" i="3"/>
  <c r="O6" i="3"/>
  <c r="O7" i="3"/>
  <c r="O8" i="3"/>
  <c r="O9" i="3"/>
  <c r="O10" i="3"/>
  <c r="O11" i="3"/>
  <c r="O12" i="3"/>
  <c r="O13" i="3"/>
  <c r="O14" i="3"/>
  <c r="O15" i="3"/>
  <c r="O16" i="3"/>
  <c r="O17" i="3"/>
  <c r="O18" i="3"/>
  <c r="O19" i="3"/>
  <c r="O20" i="3"/>
  <c r="O21" i="3"/>
  <c r="O22" i="3"/>
  <c r="O23" i="3"/>
  <c r="O24" i="3"/>
  <c r="O25" i="3"/>
  <c r="O26" i="3"/>
  <c r="O27" i="3"/>
  <c r="O28" i="3"/>
  <c r="O29" i="3"/>
  <c r="O30" i="3"/>
  <c r="O31" i="3"/>
  <c r="O32" i="3"/>
  <c r="O33" i="3"/>
  <c r="O34" i="3"/>
  <c r="O35" i="3"/>
  <c r="O36" i="3"/>
  <c r="O37" i="3"/>
  <c r="O38" i="3"/>
  <c r="O39" i="3"/>
  <c r="O40" i="3"/>
  <c r="O41" i="3"/>
  <c r="O42" i="3"/>
  <c r="O43" i="3"/>
  <c r="O44" i="3"/>
  <c r="O45" i="3"/>
  <c r="O46" i="3"/>
  <c r="O47" i="3"/>
  <c r="O48" i="3"/>
  <c r="O49" i="3"/>
  <c r="O50" i="3"/>
  <c r="O51" i="3"/>
  <c r="O52" i="3"/>
  <c r="O53" i="3"/>
  <c r="O54" i="3"/>
  <c r="O55" i="3"/>
  <c r="O56" i="3"/>
  <c r="O57" i="3"/>
  <c r="O58" i="3"/>
  <c r="O59" i="3"/>
  <c r="O60" i="3"/>
  <c r="O61" i="3"/>
  <c r="O62" i="3"/>
  <c r="O63" i="3"/>
  <c r="O64" i="3"/>
  <c r="O65" i="3"/>
  <c r="O66" i="3"/>
  <c r="O67" i="3"/>
  <c r="O68" i="3"/>
  <c r="O69" i="3"/>
  <c r="O70" i="3"/>
  <c r="O71" i="3"/>
  <c r="O4" i="3"/>
  <c r="F4" i="3"/>
  <c r="F5" i="3"/>
  <c r="F6" i="3"/>
  <c r="F8" i="3"/>
  <c r="F9" i="3"/>
  <c r="F10" i="3"/>
  <c r="F11" i="3"/>
  <c r="F12" i="3"/>
  <c r="F13" i="3"/>
  <c r="F14" i="3"/>
  <c r="F15" i="3"/>
  <c r="F16" i="3"/>
  <c r="F17" i="3"/>
  <c r="F18" i="3"/>
  <c r="F19" i="3"/>
  <c r="F20" i="3"/>
  <c r="F21" i="3"/>
  <c r="F22" i="3"/>
  <c r="F23" i="3"/>
  <c r="F24" i="3"/>
  <c r="F25" i="3"/>
  <c r="F26" i="3"/>
  <c r="F27" i="3"/>
  <c r="F28" i="3"/>
  <c r="F29" i="3"/>
  <c r="F30" i="3"/>
  <c r="F31" i="3"/>
  <c r="F32" i="3"/>
  <c r="F33" i="3"/>
  <c r="F34" i="3"/>
  <c r="F35" i="3"/>
  <c r="F36" i="3"/>
  <c r="F37" i="3"/>
  <c r="F38" i="3"/>
  <c r="F39" i="3"/>
  <c r="F40" i="3"/>
  <c r="F41" i="3"/>
  <c r="F42" i="3"/>
  <c r="F43" i="3"/>
  <c r="F44" i="3"/>
  <c r="F45" i="3"/>
  <c r="F46" i="3"/>
  <c r="F47" i="3"/>
  <c r="F48" i="3"/>
  <c r="F49" i="3"/>
  <c r="F50" i="3"/>
  <c r="F51" i="3"/>
  <c r="F52" i="3"/>
  <c r="F53" i="3"/>
  <c r="F54" i="3"/>
  <c r="F55" i="3"/>
  <c r="F56" i="3"/>
  <c r="F57" i="3"/>
  <c r="F58" i="3"/>
  <c r="F59" i="3"/>
  <c r="F60" i="3"/>
  <c r="F61" i="3"/>
  <c r="F62" i="3"/>
  <c r="F63" i="3"/>
  <c r="F64" i="3"/>
  <c r="F65" i="3"/>
  <c r="F66" i="3"/>
  <c r="F67" i="3"/>
  <c r="F68" i="3"/>
  <c r="F69" i="3"/>
  <c r="F70" i="3"/>
  <c r="F71" i="3"/>
  <c r="D2" i="3"/>
  <c r="C2" i="3"/>
  <c r="D1" i="3"/>
  <c r="C1" i="3"/>
  <c r="H5" i="3" l="1"/>
  <c r="I5" i="3" s="1"/>
  <c r="AD32" i="3"/>
  <c r="H9" i="3"/>
  <c r="I9" i="3" s="1"/>
  <c r="H21" i="3"/>
  <c r="I21" i="3" s="1"/>
  <c r="H33" i="3"/>
  <c r="I33" i="3" s="1"/>
  <c r="H45" i="3"/>
  <c r="I45" i="3" s="1"/>
  <c r="H57" i="3"/>
  <c r="I57" i="3" s="1"/>
  <c r="H69" i="3"/>
  <c r="I69" i="3" s="1"/>
  <c r="AD59" i="3"/>
  <c r="AD71" i="3"/>
  <c r="AD83" i="3"/>
  <c r="AD95" i="3"/>
  <c r="AD39" i="3"/>
  <c r="H11" i="3"/>
  <c r="H47" i="3"/>
  <c r="H71" i="3"/>
  <c r="AD73" i="3"/>
  <c r="AD97" i="3"/>
  <c r="H24" i="3"/>
  <c r="I24" i="3" s="1"/>
  <c r="H48" i="3"/>
  <c r="I48" i="3" s="1"/>
  <c r="AD74" i="3"/>
  <c r="AD98" i="3"/>
  <c r="H13" i="3"/>
  <c r="I13" i="3" s="1"/>
  <c r="H49" i="3"/>
  <c r="I49" i="3" s="1"/>
  <c r="H4" i="3"/>
  <c r="I4" i="3" s="1"/>
  <c r="AD75" i="3"/>
  <c r="AD99" i="3"/>
  <c r="H26" i="3"/>
  <c r="I26" i="3" s="1"/>
  <c r="H50" i="3"/>
  <c r="I50" i="3" s="1"/>
  <c r="AD52" i="3"/>
  <c r="AD76" i="3"/>
  <c r="AD48" i="3"/>
  <c r="H15" i="3"/>
  <c r="I15" i="3" s="1"/>
  <c r="H39" i="3"/>
  <c r="I39" i="3" s="1"/>
  <c r="H63" i="3"/>
  <c r="I63" i="3" s="1"/>
  <c r="AD65" i="3"/>
  <c r="AD89" i="3"/>
  <c r="AD45" i="3"/>
  <c r="H10" i="3"/>
  <c r="I10" i="3" s="1"/>
  <c r="H22" i="3"/>
  <c r="I22" i="3" s="1"/>
  <c r="H34" i="3"/>
  <c r="I34" i="3" s="1"/>
  <c r="H46" i="3"/>
  <c r="I46" i="3" s="1"/>
  <c r="H58" i="3"/>
  <c r="I58" i="3" s="1"/>
  <c r="H70" i="3"/>
  <c r="I70" i="3" s="1"/>
  <c r="AD60" i="3"/>
  <c r="AD72" i="3"/>
  <c r="AD84" i="3"/>
  <c r="AD96" i="3"/>
  <c r="AD40" i="3"/>
  <c r="H23" i="3"/>
  <c r="H35" i="3"/>
  <c r="H59" i="3"/>
  <c r="I59" i="3" s="1"/>
  <c r="AD61" i="3"/>
  <c r="AD85" i="3"/>
  <c r="AD41" i="3"/>
  <c r="H12" i="3"/>
  <c r="I12" i="3" s="1"/>
  <c r="H36" i="3"/>
  <c r="I36" i="3" s="1"/>
  <c r="H60" i="3"/>
  <c r="I60" i="3" s="1"/>
  <c r="AD62" i="3"/>
  <c r="AD86" i="3"/>
  <c r="AD42" i="3"/>
  <c r="H25" i="3"/>
  <c r="H37" i="3"/>
  <c r="I37" i="3" s="1"/>
  <c r="H61" i="3"/>
  <c r="I61" i="3" s="1"/>
  <c r="AD63" i="3"/>
  <c r="AD87" i="3"/>
  <c r="AD43" i="3"/>
  <c r="H14" i="3"/>
  <c r="I14" i="3" s="1"/>
  <c r="H38" i="3"/>
  <c r="I38" i="3" s="1"/>
  <c r="H62" i="3"/>
  <c r="I62" i="3" s="1"/>
  <c r="AD64" i="3"/>
  <c r="AD88" i="3"/>
  <c r="AD44" i="3"/>
  <c r="H27" i="3"/>
  <c r="H51" i="3"/>
  <c r="I51" i="3" s="1"/>
  <c r="AD53" i="3"/>
  <c r="AD77" i="3"/>
  <c r="AD33" i="3"/>
  <c r="H16" i="3"/>
  <c r="H28" i="3"/>
  <c r="I28" i="3" s="1"/>
  <c r="H40" i="3"/>
  <c r="I40" i="3" s="1"/>
  <c r="H52" i="3"/>
  <c r="I52" i="3" s="1"/>
  <c r="H64" i="3"/>
  <c r="I64" i="3" s="1"/>
  <c r="AD54" i="3"/>
  <c r="AD66" i="3"/>
  <c r="AD78" i="3"/>
  <c r="AD90" i="3"/>
  <c r="AD34" i="3"/>
  <c r="AD46" i="3"/>
  <c r="H17" i="3"/>
  <c r="I17" i="3" s="1"/>
  <c r="H29" i="3"/>
  <c r="I29" i="3" s="1"/>
  <c r="H41" i="3"/>
  <c r="I41" i="3" s="1"/>
  <c r="H53" i="3"/>
  <c r="I53" i="3" s="1"/>
  <c r="H65" i="3"/>
  <c r="I65" i="3" s="1"/>
  <c r="AD55" i="3"/>
  <c r="AD67" i="3"/>
  <c r="AD79" i="3"/>
  <c r="AD91" i="3"/>
  <c r="AD35" i="3"/>
  <c r="AD47" i="3"/>
  <c r="H6" i="3"/>
  <c r="I6" i="3" s="1"/>
  <c r="H18" i="3"/>
  <c r="I18" i="3" s="1"/>
  <c r="H30" i="3"/>
  <c r="I30" i="3" s="1"/>
  <c r="H42" i="3"/>
  <c r="I42" i="3" s="1"/>
  <c r="H54" i="3"/>
  <c r="I54" i="3" s="1"/>
  <c r="H66" i="3"/>
  <c r="I66" i="3" s="1"/>
  <c r="AD56" i="3"/>
  <c r="AD68" i="3"/>
  <c r="AD80" i="3"/>
  <c r="AD92" i="3"/>
  <c r="AD36" i="3"/>
  <c r="AD49" i="3"/>
  <c r="H7" i="3"/>
  <c r="I7" i="3" s="1"/>
  <c r="H19" i="3"/>
  <c r="I19" i="3" s="1"/>
  <c r="H31" i="3"/>
  <c r="I31" i="3" s="1"/>
  <c r="H43" i="3"/>
  <c r="I43" i="3" s="1"/>
  <c r="H55" i="3"/>
  <c r="I55" i="3" s="1"/>
  <c r="H67" i="3"/>
  <c r="I67" i="3" s="1"/>
  <c r="AD57" i="3"/>
  <c r="AD69" i="3"/>
  <c r="AD81" i="3"/>
  <c r="AD93" i="3"/>
  <c r="AD37" i="3"/>
  <c r="AD50" i="3"/>
  <c r="H8" i="3"/>
  <c r="I8" i="3" s="1"/>
  <c r="H20" i="3"/>
  <c r="I20" i="3" s="1"/>
  <c r="H32" i="3"/>
  <c r="I32" i="3" s="1"/>
  <c r="H44" i="3"/>
  <c r="I44" i="3" s="1"/>
  <c r="H56" i="3"/>
  <c r="I56" i="3" s="1"/>
  <c r="H68" i="3"/>
  <c r="I68" i="3" s="1"/>
  <c r="AD58" i="3"/>
  <c r="AD70" i="3"/>
  <c r="AD82" i="3"/>
  <c r="AD94" i="3"/>
  <c r="AD38" i="3"/>
  <c r="AD51" i="3"/>
  <c r="I27" i="3"/>
  <c r="I25" i="3"/>
  <c r="I11" i="3"/>
  <c r="I71" i="3"/>
  <c r="I47" i="3"/>
  <c r="I35" i="3"/>
  <c r="I23" i="3"/>
  <c r="AH29" i="3" l="1"/>
  <c r="I16" i="3"/>
  <c r="L4" i="3" s="1"/>
  <c r="L5" i="3" l="1"/>
</calcChain>
</file>

<file path=xl/sharedStrings.xml><?xml version="1.0" encoding="utf-8"?>
<sst xmlns="http://schemas.openxmlformats.org/spreadsheetml/2006/main" count="213" uniqueCount="131">
  <si>
    <t>Default rates</t>
  </si>
  <si>
    <t>2005 Q1</t>
  </si>
  <si>
    <t>2005 Q2</t>
  </si>
  <si>
    <t>2005 Q3</t>
  </si>
  <si>
    <t>2005 Q4</t>
  </si>
  <si>
    <t>2006 Q1</t>
  </si>
  <si>
    <t>2006 Q2</t>
  </si>
  <si>
    <t>2006 Q3</t>
  </si>
  <si>
    <t>2006 Q4</t>
  </si>
  <si>
    <t>2007 Q1</t>
  </si>
  <si>
    <t>2007 Q2</t>
  </si>
  <si>
    <t>2007 Q3</t>
  </si>
  <si>
    <t>2007 Q4</t>
  </si>
  <si>
    <t>2008 Q1</t>
  </si>
  <si>
    <t>2008 Q2</t>
  </si>
  <si>
    <t>2008 Q3</t>
  </si>
  <si>
    <t>2008 Q4</t>
  </si>
  <si>
    <t>2009 Q1</t>
  </si>
  <si>
    <t>2009 Q2</t>
  </si>
  <si>
    <t>2009 Q3</t>
  </si>
  <si>
    <t>2009 Q4</t>
  </si>
  <si>
    <t>2010 Q1</t>
  </si>
  <si>
    <t>2010 Q2</t>
  </si>
  <si>
    <t>2010 Q3</t>
  </si>
  <si>
    <t>2010 Q4</t>
  </si>
  <si>
    <t>2011 Q1</t>
  </si>
  <si>
    <t>2011 Q2</t>
  </si>
  <si>
    <t>2011 Q3</t>
  </si>
  <si>
    <t>2011 Q4</t>
  </si>
  <si>
    <t>2012 Q1</t>
  </si>
  <si>
    <t>2012 Q2</t>
  </si>
  <si>
    <t>2012 Q3</t>
  </si>
  <si>
    <t>2012 Q4</t>
  </si>
  <si>
    <t>2013 Q1</t>
  </si>
  <si>
    <t>2013 Q2</t>
  </si>
  <si>
    <t>2013 Q3</t>
  </si>
  <si>
    <t>2013 Q4</t>
  </si>
  <si>
    <t>2014 Q1</t>
  </si>
  <si>
    <t>2014 Q2</t>
  </si>
  <si>
    <t>2014 Q3</t>
  </si>
  <si>
    <t>2014 Q4</t>
  </si>
  <si>
    <t>2015 Q1</t>
  </si>
  <si>
    <t>2015 Q2</t>
  </si>
  <si>
    <t>2015 Q3</t>
  </si>
  <si>
    <t>2015 Q4</t>
  </si>
  <si>
    <t>2016 Q1</t>
  </si>
  <si>
    <t>2016 Q2</t>
  </si>
  <si>
    <t>2016 Q3</t>
  </si>
  <si>
    <t>2016 Q4</t>
  </si>
  <si>
    <t>2017 Q1</t>
  </si>
  <si>
    <t>2017 Q2</t>
  </si>
  <si>
    <t>2017 Q3</t>
  </si>
  <si>
    <t>2017 Q4</t>
  </si>
  <si>
    <t>2018 Q1</t>
  </si>
  <si>
    <t>2018 Q2</t>
  </si>
  <si>
    <t>2018 Q3</t>
  </si>
  <si>
    <t>2018 Q4</t>
  </si>
  <si>
    <t>2019 Q1</t>
  </si>
  <si>
    <t>2019 Q2</t>
  </si>
  <si>
    <t>2019 Q3</t>
  </si>
  <si>
    <t>2019 Q4</t>
  </si>
  <si>
    <t>2020 Q1</t>
  </si>
  <si>
    <t>2020 Q2</t>
  </si>
  <si>
    <t>2020 Q3</t>
  </si>
  <si>
    <t>2020 Q4</t>
  </si>
  <si>
    <t>2021 Q1</t>
  </si>
  <si>
    <t>2021 Q2</t>
  </si>
  <si>
    <t>2021 Q3</t>
  </si>
  <si>
    <t>2021 Q4</t>
  </si>
  <si>
    <t>Observation Date</t>
  </si>
  <si>
    <t>HPI</t>
  </si>
  <si>
    <t xml:space="preserve">GDP </t>
  </si>
  <si>
    <t>UER</t>
  </si>
  <si>
    <t>SUMMARY OUTPUT</t>
  </si>
  <si>
    <t>Regression Statistics</t>
  </si>
  <si>
    <t>Multiple R</t>
  </si>
  <si>
    <t>R Square</t>
  </si>
  <si>
    <t>Adjusted R Square</t>
  </si>
  <si>
    <t>Standard Error</t>
  </si>
  <si>
    <t>Observations</t>
  </si>
  <si>
    <t>ANOVA</t>
  </si>
  <si>
    <t>Regression</t>
  </si>
  <si>
    <t>Residual</t>
  </si>
  <si>
    <t>Total</t>
  </si>
  <si>
    <t>Intercept</t>
  </si>
  <si>
    <t>df</t>
  </si>
  <si>
    <t>SS</t>
  </si>
  <si>
    <t>MS</t>
  </si>
  <si>
    <t>F</t>
  </si>
  <si>
    <t>Significance F</t>
  </si>
  <si>
    <t>Coefficients</t>
  </si>
  <si>
    <t>t Stat</t>
  </si>
  <si>
    <t>P-value</t>
  </si>
  <si>
    <t>Lower 95%</t>
  </si>
  <si>
    <t>Upper 95%</t>
  </si>
  <si>
    <t>Lower 95.0%</t>
  </si>
  <si>
    <t>Upper 95.0%</t>
  </si>
  <si>
    <t>Z</t>
  </si>
  <si>
    <t>Mean</t>
  </si>
  <si>
    <t xml:space="preserve"> S.D</t>
  </si>
  <si>
    <t>PIT Score</t>
  </si>
  <si>
    <t>Actual</t>
  </si>
  <si>
    <t>PIT score</t>
  </si>
  <si>
    <t>Error</t>
  </si>
  <si>
    <t>Fitted</t>
  </si>
  <si>
    <t>Threshold</t>
  </si>
  <si>
    <t>SSE</t>
  </si>
  <si>
    <t>VAR</t>
  </si>
  <si>
    <t>RHO</t>
  </si>
  <si>
    <t>TTC PD</t>
  </si>
  <si>
    <t>Y</t>
  </si>
  <si>
    <t>X1</t>
  </si>
  <si>
    <t>X2</t>
  </si>
  <si>
    <t>X3</t>
  </si>
  <si>
    <t>GDP_Growth_%</t>
  </si>
  <si>
    <t>Unemployment_Rate_%</t>
  </si>
  <si>
    <t>HPI_Growth_%</t>
  </si>
  <si>
    <t>Quarter</t>
  </si>
  <si>
    <t>Forcast_MEV</t>
  </si>
  <si>
    <t>GDP</t>
  </si>
  <si>
    <t xml:space="preserve">Vasicek </t>
  </si>
  <si>
    <t>Calibrated ODR</t>
  </si>
  <si>
    <t>Target central tendancy</t>
  </si>
  <si>
    <t>GDP_lag_1 (%)</t>
  </si>
  <si>
    <t>GDP_Lag_1</t>
  </si>
  <si>
    <t>HPI%</t>
  </si>
  <si>
    <t>UER%</t>
  </si>
  <si>
    <t>\</t>
  </si>
  <si>
    <t>You are given the time series of default rates for a loan portfolio. Based on the data given:</t>
  </si>
  <si>
    <r>
      <t>a)</t>
    </r>
    <r>
      <rPr>
        <sz val="7"/>
        <color theme="1"/>
        <rFont val="Times New Roman"/>
        <family val="1"/>
      </rPr>
      <t xml:space="preserve">       </t>
    </r>
    <r>
      <rPr>
        <sz val="11"/>
        <color theme="1"/>
        <rFont val="Calibri"/>
        <family val="2"/>
        <scheme val="minor"/>
      </rPr>
      <t>Calibrate Z from observed default rates using the ASRF framework</t>
    </r>
  </si>
  <si>
    <r>
      <t>b)</t>
    </r>
    <r>
      <rPr>
        <sz val="7"/>
        <color theme="1"/>
        <rFont val="Times New Roman"/>
        <family val="1"/>
      </rPr>
      <t xml:space="preserve">      </t>
    </r>
    <r>
      <rPr>
        <sz val="11"/>
        <color theme="1"/>
        <rFont val="Calibri"/>
        <family val="2"/>
        <scheme val="minor"/>
      </rPr>
      <t>Find out Macro economic factors which explains the systemic factors well. Use data from FRED and build a regression model with R square greater than at least greater than 60%.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</si>
</sst>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00"/>
    <numFmt numFmtId="165" formatCode="0.0"/>
    <numFmt numFmtId="166" formatCode="0.000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1"/>
      <color theme="8" tint="-0.249977111117893"/>
      <name val="Calibri"/>
      <family val="2"/>
      <scheme val="minor"/>
    </font>
    <font>
      <sz val="7"/>
      <color theme="1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6" tint="0.79998168889431442"/>
        <bgColor indexed="64"/>
      </patternFill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43">
    <xf numFmtId="0" fontId="0" fillId="0" borderId="0" xfId="0"/>
    <xf numFmtId="0" fontId="0" fillId="0" borderId="0" xfId="0" applyAlignment="1">
      <alignment horizontal="center"/>
    </xf>
    <xf numFmtId="10" fontId="0" fillId="0" borderId="0" xfId="0" applyNumberFormat="1" applyAlignment="1">
      <alignment horizontal="center"/>
    </xf>
    <xf numFmtId="10" fontId="0" fillId="0" borderId="0" xfId="1" applyNumberFormat="1" applyFont="1" applyAlignment="1">
      <alignment horizontal="center"/>
    </xf>
    <xf numFmtId="16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0" fontId="0" fillId="0" borderId="2" xfId="0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166" fontId="0" fillId="0" borderId="0" xfId="0" applyNumberFormat="1" applyAlignment="1">
      <alignment horizontal="center"/>
    </xf>
    <xf numFmtId="0" fontId="2" fillId="0" borderId="2" xfId="0" applyFont="1" applyBorder="1" applyAlignment="1">
      <alignment horizontal="center"/>
    </xf>
    <xf numFmtId="0" fontId="4" fillId="0" borderId="0" xfId="0" applyFont="1" applyAlignment="1">
      <alignment horizontal="center"/>
    </xf>
    <xf numFmtId="0" fontId="2" fillId="0" borderId="1" xfId="0" applyFont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164" fontId="4" fillId="0" borderId="0" xfId="0" applyNumberFormat="1" applyFont="1" applyAlignment="1">
      <alignment horizontal="center"/>
    </xf>
    <xf numFmtId="0" fontId="3" fillId="0" borderId="0" xfId="0" applyFont="1" applyAlignment="1">
      <alignment horizontal="centerContinuous"/>
    </xf>
    <xf numFmtId="0" fontId="3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0" fillId="0" borderId="0" xfId="1" applyNumberFormat="1" applyFont="1" applyFill="1" applyBorder="1" applyAlignment="1">
      <alignment horizontal="center"/>
    </xf>
    <xf numFmtId="2" fontId="0" fillId="0" borderId="0" xfId="1" applyNumberFormat="1" applyFont="1" applyAlignment="1">
      <alignment horizontal="center"/>
    </xf>
    <xf numFmtId="0" fontId="2" fillId="0" borderId="6" xfId="0" applyFont="1" applyBorder="1" applyAlignment="1">
      <alignment horizontal="center"/>
    </xf>
    <xf numFmtId="0" fontId="2" fillId="0" borderId="5" xfId="0" applyFont="1" applyBorder="1" applyAlignment="1">
      <alignment horizontal="center" vertical="top"/>
    </xf>
    <xf numFmtId="0" fontId="2" fillId="0" borderId="7" xfId="0" applyFont="1" applyBorder="1" applyAlignment="1">
      <alignment horizontal="center" vertical="top"/>
    </xf>
    <xf numFmtId="10" fontId="0" fillId="0" borderId="0" xfId="1" applyNumberFormat="1" applyFont="1"/>
    <xf numFmtId="0" fontId="0" fillId="4" borderId="0" xfId="0" applyFill="1"/>
    <xf numFmtId="0" fontId="2" fillId="0" borderId="8" xfId="0" applyFont="1" applyBorder="1" applyAlignment="1">
      <alignment horizontal="center"/>
    </xf>
    <xf numFmtId="0" fontId="0" fillId="2" borderId="0" xfId="1" applyNumberFormat="1" applyFont="1" applyFill="1" applyBorder="1" applyAlignment="1">
      <alignment horizontal="center"/>
    </xf>
    <xf numFmtId="0" fontId="2" fillId="4" borderId="0" xfId="0" applyFont="1" applyFill="1"/>
    <xf numFmtId="2" fontId="0" fillId="0" borderId="0" xfId="1" applyNumberFormat="1" applyFont="1" applyBorder="1" applyAlignment="1">
      <alignment horizontal="center"/>
    </xf>
    <xf numFmtId="0" fontId="2" fillId="0" borderId="2" xfId="0" applyFont="1" applyBorder="1" applyAlignment="1">
      <alignment horizontal="center" vertical="top"/>
    </xf>
    <xf numFmtId="10" fontId="0" fillId="0" borderId="0" xfId="1" applyNumberFormat="1" applyFont="1" applyBorder="1" applyAlignment="1">
      <alignment horizontal="center"/>
    </xf>
    <xf numFmtId="0" fontId="2" fillId="0" borderId="1" xfId="0" applyFont="1" applyBorder="1"/>
    <xf numFmtId="10" fontId="0" fillId="5" borderId="1" xfId="1" applyNumberFormat="1" applyFont="1" applyFill="1" applyBorder="1"/>
    <xf numFmtId="10" fontId="0" fillId="5" borderId="1" xfId="0" applyNumberFormat="1" applyFill="1" applyBorder="1"/>
    <xf numFmtId="0" fontId="0" fillId="0" borderId="3" xfId="0" applyBorder="1"/>
    <xf numFmtId="0" fontId="3" fillId="0" borderId="4" xfId="0" applyFont="1" applyBorder="1" applyAlignment="1">
      <alignment horizontal="center"/>
    </xf>
    <xf numFmtId="0" fontId="3" fillId="0" borderId="4" xfId="0" applyFont="1" applyBorder="1" applyAlignment="1">
      <alignment horizontal="centerContinuous"/>
    </xf>
    <xf numFmtId="0" fontId="0" fillId="2" borderId="0" xfId="0" applyFill="1"/>
    <xf numFmtId="0" fontId="0" fillId="2" borderId="3" xfId="0" applyFill="1" applyBorder="1"/>
    <xf numFmtId="0" fontId="0" fillId="0" borderId="0" xfId="0" applyAlignment="1">
      <alignment vertical="center"/>
    </xf>
    <xf numFmtId="0" fontId="0" fillId="0" borderId="0" xfId="0" applyAlignment="1">
      <alignment horizontal="left" vertical="center" indent="4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614F00-FA9F-4627-B443-230F433EFDC1}">
  <dimension ref="C3:C6"/>
  <sheetViews>
    <sheetView tabSelected="1" zoomScale="88" workbookViewId="0">
      <selection activeCell="F7" sqref="F7"/>
    </sheetView>
  </sheetViews>
  <sheetFormatPr defaultRowHeight="14.5" x14ac:dyDescent="0.35"/>
  <sheetData>
    <row r="3" spans="3:3" x14ac:dyDescent="0.35">
      <c r="C3" s="41" t="s">
        <v>128</v>
      </c>
    </row>
    <row r="4" spans="3:3" x14ac:dyDescent="0.35">
      <c r="C4" s="42" t="s">
        <v>129</v>
      </c>
    </row>
    <row r="5" spans="3:3" x14ac:dyDescent="0.35">
      <c r="C5" s="42" t="s">
        <v>130</v>
      </c>
    </row>
    <row r="6" spans="3:3" x14ac:dyDescent="0.35">
      <c r="C6" s="42"/>
    </row>
  </sheetData>
  <sheetProtection algorithmName="SHA-512" hashValue="K+vUyGtWGYXsOQmMWjSAaCipkUCrylxVXdRF2lTt+NlQqBE2g0Nz1RIiXyc+hIABEvMcmsBi7FXs1LBNsUkEHg==" saltValue="50QtnYjPcxhCxaKmwcHrTw==" spinCount="100000" sheet="1" objects="1" scenarios="1" selectLockedCells="1" selectUnlockedCells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83"/>
  <sheetViews>
    <sheetView workbookViewId="0">
      <selection activeCell="G53" sqref="A1:XFD1048576"/>
    </sheetView>
  </sheetViews>
  <sheetFormatPr defaultColWidth="9.1796875" defaultRowHeight="14.5" x14ac:dyDescent="0.35"/>
  <cols>
    <col min="1" max="1" width="16.54296875" style="1" bestFit="1" customWidth="1"/>
    <col min="2" max="2" width="12.453125" style="1" bestFit="1" customWidth="1"/>
    <col min="3" max="3" width="9.1796875" style="1"/>
    <col min="4" max="4" width="15.08984375" style="1" customWidth="1"/>
    <col min="5" max="5" width="9.90625" style="1" customWidth="1"/>
    <col min="6" max="16384" width="9.1796875" style="1"/>
  </cols>
  <sheetData>
    <row r="1" spans="1:7" x14ac:dyDescent="0.35">
      <c r="A1" s="9" t="s">
        <v>69</v>
      </c>
      <c r="B1" s="7" t="s">
        <v>0</v>
      </c>
      <c r="C1" s="9" t="s">
        <v>125</v>
      </c>
      <c r="D1" s="9" t="s">
        <v>123</v>
      </c>
      <c r="E1" s="9" t="s">
        <v>126</v>
      </c>
      <c r="F1" s="6"/>
      <c r="G1" s="6"/>
    </row>
    <row r="2" spans="1:7" x14ac:dyDescent="0.35">
      <c r="A2" s="1" t="s">
        <v>1</v>
      </c>
      <c r="B2" s="2">
        <v>1.3599999999999999E-2</v>
      </c>
      <c r="C2" s="4">
        <v>3.7221700000000002</v>
      </c>
      <c r="D2" s="4">
        <v>1.8033399999999999</v>
      </c>
      <c r="E2" s="5">
        <v>5.2</v>
      </c>
      <c r="G2"/>
    </row>
    <row r="3" spans="1:7" x14ac:dyDescent="0.35">
      <c r="A3" s="1" t="s">
        <v>2</v>
      </c>
      <c r="B3" s="3">
        <v>1.37E-2</v>
      </c>
      <c r="C3" s="4">
        <v>4.5206799999999996</v>
      </c>
      <c r="D3" s="4">
        <v>1.9164000000000001</v>
      </c>
      <c r="E3" s="5">
        <v>5</v>
      </c>
      <c r="G3"/>
    </row>
    <row r="4" spans="1:7" x14ac:dyDescent="0.35">
      <c r="A4" s="1" t="s">
        <v>3</v>
      </c>
      <c r="B4" s="2">
        <v>1.3100000000000001E-2</v>
      </c>
      <c r="C4" s="4">
        <v>3.2525900000000001</v>
      </c>
      <c r="D4" s="4">
        <v>1.2169399999999999</v>
      </c>
      <c r="E4" s="5">
        <v>5</v>
      </c>
      <c r="G4"/>
    </row>
    <row r="5" spans="1:7" x14ac:dyDescent="0.35">
      <c r="A5" s="1" t="s">
        <v>4</v>
      </c>
      <c r="B5" s="2">
        <v>1.2699999999999999E-2</v>
      </c>
      <c r="C5" s="4">
        <v>1.4053100000000001</v>
      </c>
      <c r="D5" s="4">
        <v>1.7023299999999999</v>
      </c>
      <c r="E5" s="5">
        <v>4.9000000000000004</v>
      </c>
      <c r="G5"/>
    </row>
    <row r="6" spans="1:7" x14ac:dyDescent="0.35">
      <c r="A6" s="1" t="s">
        <v>5</v>
      </c>
      <c r="B6" s="2">
        <v>1.32E-2</v>
      </c>
      <c r="C6" s="4">
        <v>1.46634</v>
      </c>
      <c r="D6" s="4">
        <v>1.38147</v>
      </c>
      <c r="E6" s="5">
        <v>4.7</v>
      </c>
      <c r="G6"/>
    </row>
    <row r="7" spans="1:7" x14ac:dyDescent="0.35">
      <c r="A7" s="1" t="s">
        <v>6</v>
      </c>
      <c r="B7" s="2">
        <v>1.3100000000000001E-2</v>
      </c>
      <c r="C7" s="4">
        <v>0.98385999999999996</v>
      </c>
      <c r="D7" s="4">
        <v>2.06358</v>
      </c>
      <c r="E7" s="5">
        <v>4.5999999999999996</v>
      </c>
      <c r="G7"/>
    </row>
    <row r="8" spans="1:7" x14ac:dyDescent="0.35">
      <c r="A8" s="1" t="s">
        <v>7</v>
      </c>
      <c r="B8" s="2">
        <v>1.46E-2</v>
      </c>
      <c r="C8" s="4">
        <v>-0.18911</v>
      </c>
      <c r="D8" s="4">
        <v>1.13436</v>
      </c>
      <c r="E8" s="5">
        <v>4.5</v>
      </c>
      <c r="G8"/>
    </row>
    <row r="9" spans="1:7" x14ac:dyDescent="0.35">
      <c r="A9" s="1" t="s">
        <v>8</v>
      </c>
      <c r="B9" s="2">
        <v>1.6799999999999999E-2</v>
      </c>
      <c r="C9" s="4">
        <v>-0.52605999999999997</v>
      </c>
      <c r="D9" s="4">
        <v>0.84897999999999996</v>
      </c>
      <c r="E9" s="5">
        <v>4.4000000000000004</v>
      </c>
      <c r="G9"/>
    </row>
    <row r="10" spans="1:7" x14ac:dyDescent="0.35">
      <c r="A10" s="1" t="s">
        <v>9</v>
      </c>
      <c r="B10" s="2">
        <v>1.9400000000000001E-2</v>
      </c>
      <c r="C10" s="4">
        <v>-0.56540999999999997</v>
      </c>
      <c r="D10" s="4">
        <v>1.22112</v>
      </c>
      <c r="E10" s="5">
        <v>4.4000000000000004</v>
      </c>
      <c r="G10"/>
    </row>
    <row r="11" spans="1:7" x14ac:dyDescent="0.35">
      <c r="A11" s="1" t="s">
        <v>10</v>
      </c>
      <c r="B11" s="2">
        <v>2.4E-2</v>
      </c>
      <c r="C11" s="4">
        <v>-0.35841000000000001</v>
      </c>
      <c r="D11" s="4">
        <v>1.2542500000000001</v>
      </c>
      <c r="E11" s="5">
        <v>4.5999999999999996</v>
      </c>
      <c r="G11"/>
    </row>
    <row r="12" spans="1:7" x14ac:dyDescent="0.35">
      <c r="A12" s="1" t="s">
        <v>11</v>
      </c>
      <c r="B12" s="2">
        <v>2.8900000000000002E-2</v>
      </c>
      <c r="C12" s="4">
        <v>-1.3319399999999999</v>
      </c>
      <c r="D12" s="4">
        <v>1.31145</v>
      </c>
      <c r="E12" s="5">
        <v>4.7</v>
      </c>
      <c r="G12"/>
    </row>
    <row r="13" spans="1:7" x14ac:dyDescent="0.35">
      <c r="A13" s="1" t="s">
        <v>12</v>
      </c>
      <c r="B13" s="2">
        <v>3.6799999999999999E-2</v>
      </c>
      <c r="C13" s="4">
        <v>-3.2296399999999998</v>
      </c>
      <c r="D13" s="4">
        <v>1.1250800000000001</v>
      </c>
      <c r="E13" s="5">
        <v>5</v>
      </c>
      <c r="G13"/>
    </row>
    <row r="14" spans="1:7" x14ac:dyDescent="0.35">
      <c r="A14" s="1" t="s">
        <v>13</v>
      </c>
      <c r="B14" s="2">
        <v>4.7100000000000003E-2</v>
      </c>
      <c r="C14" s="4">
        <v>-3.13551</v>
      </c>
      <c r="D14" s="4">
        <v>1.0363899999999999</v>
      </c>
      <c r="E14" s="5">
        <v>5.0999999999999996</v>
      </c>
      <c r="G14"/>
    </row>
    <row r="15" spans="1:7" x14ac:dyDescent="0.35">
      <c r="A15" s="1" t="s">
        <v>14</v>
      </c>
      <c r="B15" s="2">
        <v>5.3200000000000004E-2</v>
      </c>
      <c r="C15" s="4">
        <v>-0.81357000000000002</v>
      </c>
      <c r="D15" s="4">
        <v>-5.79E-2</v>
      </c>
      <c r="E15" s="5">
        <v>5.6</v>
      </c>
      <c r="G15"/>
    </row>
    <row r="16" spans="1:7" x14ac:dyDescent="0.35">
      <c r="A16" s="1" t="s">
        <v>15</v>
      </c>
      <c r="B16" s="2">
        <v>6.0400000000000002E-2</v>
      </c>
      <c r="C16" s="4">
        <v>-2.77658</v>
      </c>
      <c r="D16" s="4">
        <v>1.08226</v>
      </c>
      <c r="E16" s="5">
        <v>6.1</v>
      </c>
      <c r="G16"/>
    </row>
    <row r="17" spans="1:7" x14ac:dyDescent="0.35">
      <c r="A17" s="1" t="s">
        <v>16</v>
      </c>
      <c r="B17" s="2">
        <v>6.6500000000000004E-2</v>
      </c>
      <c r="C17" s="4">
        <v>-5.7858599999999996</v>
      </c>
      <c r="D17" s="4">
        <v>0.22398999999999999</v>
      </c>
      <c r="E17" s="5">
        <v>7.3</v>
      </c>
      <c r="G17"/>
    </row>
    <row r="18" spans="1:7" x14ac:dyDescent="0.35">
      <c r="A18" s="1" t="s">
        <v>17</v>
      </c>
      <c r="B18" s="2">
        <v>7.3899999999999993E-2</v>
      </c>
      <c r="C18" s="4">
        <v>-3.95296</v>
      </c>
      <c r="D18" s="4">
        <v>-1.95174</v>
      </c>
      <c r="E18" s="5">
        <v>8.6999999999999993</v>
      </c>
      <c r="G18"/>
    </row>
    <row r="19" spans="1:7" x14ac:dyDescent="0.35">
      <c r="A19" s="1" t="s">
        <v>18</v>
      </c>
      <c r="B19" s="2">
        <v>8.2599999999999993E-2</v>
      </c>
      <c r="C19" s="4">
        <v>2.2400600000000002</v>
      </c>
      <c r="D19" s="4">
        <v>-1.2137500000000001</v>
      </c>
      <c r="E19" s="5">
        <v>9.5</v>
      </c>
      <c r="G19"/>
    </row>
    <row r="20" spans="1:7" x14ac:dyDescent="0.35">
      <c r="A20" s="1" t="s">
        <v>19</v>
      </c>
      <c r="B20" s="2">
        <v>8.3499999999999991E-2</v>
      </c>
      <c r="C20" s="4">
        <v>-0.11215</v>
      </c>
      <c r="D20" s="4">
        <v>-0.34416000000000002</v>
      </c>
      <c r="E20" s="5">
        <v>9.8000000000000007</v>
      </c>
      <c r="G20"/>
    </row>
    <row r="21" spans="1:7" x14ac:dyDescent="0.35">
      <c r="A21" s="1" t="s">
        <v>20</v>
      </c>
      <c r="B21" s="2">
        <v>8.3000000000000004E-2</v>
      </c>
      <c r="C21" s="4">
        <v>-1.9795799999999999</v>
      </c>
      <c r="D21" s="4">
        <v>0.47038000000000002</v>
      </c>
      <c r="E21" s="5">
        <v>9.9</v>
      </c>
      <c r="G21"/>
    </row>
    <row r="22" spans="1:7" x14ac:dyDescent="0.35">
      <c r="A22" s="1" t="s">
        <v>21</v>
      </c>
      <c r="B22" s="2">
        <v>7.6999999999999999E-2</v>
      </c>
      <c r="C22" s="4">
        <v>-2.0931899999999999</v>
      </c>
      <c r="D22" s="4">
        <v>1.4005700000000001</v>
      </c>
      <c r="E22" s="5">
        <v>9.9</v>
      </c>
      <c r="G22"/>
    </row>
    <row r="23" spans="1:7" x14ac:dyDescent="0.35">
      <c r="A23" s="1" t="s">
        <v>22</v>
      </c>
      <c r="B23" s="2">
        <v>6.9599999999999995E-2</v>
      </c>
      <c r="C23" s="4">
        <v>2.8601100000000002</v>
      </c>
      <c r="D23" s="4">
        <v>0.77373000000000003</v>
      </c>
      <c r="E23" s="5">
        <v>9.4</v>
      </c>
      <c r="G23"/>
    </row>
    <row r="24" spans="1:7" x14ac:dyDescent="0.35">
      <c r="A24" s="1" t="s">
        <v>23</v>
      </c>
      <c r="B24" s="2">
        <v>6.4899999999999999E-2</v>
      </c>
      <c r="C24" s="4">
        <v>-2.0954199999999998</v>
      </c>
      <c r="D24" s="4">
        <v>1.4601299999999999</v>
      </c>
      <c r="E24" s="5">
        <v>9.5</v>
      </c>
      <c r="G24"/>
    </row>
    <row r="25" spans="1:7" x14ac:dyDescent="0.35">
      <c r="A25" s="1" t="s">
        <v>24</v>
      </c>
      <c r="B25" s="2">
        <v>5.6399999999999999E-2</v>
      </c>
      <c r="C25" s="4">
        <v>-2.75434</v>
      </c>
      <c r="D25" s="4">
        <v>1.07752</v>
      </c>
      <c r="E25" s="5">
        <v>9.3000000000000007</v>
      </c>
      <c r="G25"/>
    </row>
    <row r="26" spans="1:7" x14ac:dyDescent="0.35">
      <c r="A26" s="1" t="s">
        <v>25</v>
      </c>
      <c r="B26" s="2">
        <v>5.2900000000000003E-2</v>
      </c>
      <c r="C26" s="4">
        <v>-2.0224000000000002</v>
      </c>
      <c r="D26" s="4">
        <v>1.1086499999999999</v>
      </c>
      <c r="E26" s="5">
        <v>9</v>
      </c>
      <c r="G26"/>
    </row>
    <row r="27" spans="1:7" x14ac:dyDescent="0.35">
      <c r="A27" s="1" t="s">
        <v>26</v>
      </c>
      <c r="B27" s="2">
        <v>4.8300000000000003E-2</v>
      </c>
      <c r="C27" s="4">
        <v>3.0214599999999998</v>
      </c>
      <c r="D27" s="4">
        <v>0.27417000000000002</v>
      </c>
      <c r="E27" s="5">
        <v>9.1</v>
      </c>
      <c r="G27"/>
    </row>
    <row r="28" spans="1:7" x14ac:dyDescent="0.35">
      <c r="A28" s="1" t="s">
        <v>27</v>
      </c>
      <c r="B28" s="2">
        <v>4.6399999999999997E-2</v>
      </c>
      <c r="C28" s="4">
        <v>-1.2533099999999999</v>
      </c>
      <c r="D28" s="4">
        <v>1.34249</v>
      </c>
      <c r="E28" s="5">
        <v>9</v>
      </c>
      <c r="G28"/>
    </row>
    <row r="29" spans="1:7" x14ac:dyDescent="0.35">
      <c r="A29" s="1" t="s">
        <v>28</v>
      </c>
      <c r="B29" s="2">
        <v>4.58E-2</v>
      </c>
      <c r="C29" s="4">
        <v>-3.5693600000000001</v>
      </c>
      <c r="D29" s="4">
        <v>0.57940000000000003</v>
      </c>
      <c r="E29" s="5">
        <v>8.5</v>
      </c>
      <c r="G29"/>
    </row>
    <row r="30" spans="1:7" x14ac:dyDescent="0.35">
      <c r="A30" s="1" t="s">
        <v>29</v>
      </c>
      <c r="B30" s="2">
        <v>4.41E-2</v>
      </c>
      <c r="C30" s="4">
        <v>0.51568000000000003</v>
      </c>
      <c r="D30" s="4">
        <v>1.2435</v>
      </c>
      <c r="E30" s="5">
        <v>8.1999999999999993</v>
      </c>
      <c r="G30"/>
    </row>
    <row r="31" spans="1:7" x14ac:dyDescent="0.35">
      <c r="A31" s="1" t="s">
        <v>30</v>
      </c>
      <c r="B31" s="2">
        <v>4.1799999999999997E-2</v>
      </c>
      <c r="C31" s="4">
        <v>5.3783700000000003</v>
      </c>
      <c r="D31" s="4">
        <v>1.43001</v>
      </c>
      <c r="E31" s="5">
        <v>8.1999999999999993</v>
      </c>
      <c r="G31"/>
    </row>
    <row r="32" spans="1:7" x14ac:dyDescent="0.35">
      <c r="A32" s="1" t="s">
        <v>31</v>
      </c>
      <c r="B32" s="2">
        <v>3.8800000000000001E-2</v>
      </c>
      <c r="C32" s="4">
        <v>0.83050000000000002</v>
      </c>
      <c r="D32" s="4">
        <v>0.86073999999999995</v>
      </c>
      <c r="E32" s="5">
        <v>7.8</v>
      </c>
      <c r="G32"/>
    </row>
    <row r="33" spans="1:7" x14ac:dyDescent="0.35">
      <c r="A33" s="1" t="s">
        <v>32</v>
      </c>
      <c r="B33" s="2">
        <v>3.4799999999999998E-2</v>
      </c>
      <c r="C33" s="4">
        <v>-0.34289999999999998</v>
      </c>
      <c r="D33" s="4">
        <v>0.69367999999999996</v>
      </c>
      <c r="E33" s="5">
        <v>7.9</v>
      </c>
      <c r="G33"/>
    </row>
    <row r="34" spans="1:7" x14ac:dyDescent="0.35">
      <c r="A34" s="1" t="s">
        <v>33</v>
      </c>
      <c r="B34" s="2">
        <v>3.1800000000000002E-2</v>
      </c>
      <c r="C34" s="4">
        <v>2.8479100000000002</v>
      </c>
      <c r="D34" s="4">
        <v>0.61814000000000002</v>
      </c>
      <c r="E34" s="5">
        <v>7.5</v>
      </c>
      <c r="G34"/>
    </row>
    <row r="35" spans="1:7" x14ac:dyDescent="0.35">
      <c r="A35" s="1" t="s">
        <v>34</v>
      </c>
      <c r="B35" s="2">
        <v>2.9899999999999999E-2</v>
      </c>
      <c r="C35" s="4">
        <v>5.7219300000000004</v>
      </c>
      <c r="D35" s="4">
        <v>1.3871100000000001</v>
      </c>
      <c r="E35" s="5">
        <v>7.5</v>
      </c>
      <c r="G35"/>
    </row>
    <row r="36" spans="1:7" x14ac:dyDescent="0.35">
      <c r="A36" s="1" t="s">
        <v>35</v>
      </c>
      <c r="B36" s="2">
        <v>2.7400000000000001E-2</v>
      </c>
      <c r="C36" s="4">
        <v>2.0745</v>
      </c>
      <c r="D36" s="4">
        <v>0.48352000000000001</v>
      </c>
      <c r="E36" s="5">
        <v>7.2</v>
      </c>
      <c r="G36"/>
    </row>
    <row r="37" spans="1:7" x14ac:dyDescent="0.35">
      <c r="A37" s="1" t="s">
        <v>36</v>
      </c>
      <c r="B37" s="2">
        <v>2.5399999999999999E-2</v>
      </c>
      <c r="C37" s="4">
        <v>-0.24238000000000001</v>
      </c>
      <c r="D37" s="4">
        <v>1.3459000000000001</v>
      </c>
      <c r="E37" s="5">
        <v>6.7</v>
      </c>
      <c r="G37"/>
    </row>
    <row r="38" spans="1:7" x14ac:dyDescent="0.35">
      <c r="A38" s="1" t="s">
        <v>37</v>
      </c>
      <c r="B38" s="2">
        <v>2.3300000000000001E-2</v>
      </c>
      <c r="C38" s="4">
        <v>1.19537</v>
      </c>
      <c r="D38" s="4">
        <v>1.4048799999999999</v>
      </c>
      <c r="E38" s="5">
        <v>6.7</v>
      </c>
      <c r="G38"/>
    </row>
    <row r="39" spans="1:7" x14ac:dyDescent="0.35">
      <c r="A39" s="1" t="s">
        <v>38</v>
      </c>
      <c r="B39" s="2">
        <v>1.24E-2</v>
      </c>
      <c r="C39" s="4">
        <v>3.1156700000000002</v>
      </c>
      <c r="D39" s="4">
        <v>3.3270000000000001E-2</v>
      </c>
      <c r="E39" s="5">
        <v>6.1</v>
      </c>
      <c r="G39"/>
    </row>
    <row r="40" spans="1:7" x14ac:dyDescent="0.35">
      <c r="A40" s="1" t="s">
        <v>39</v>
      </c>
      <c r="B40" s="2">
        <v>1.9400000000000001E-2</v>
      </c>
      <c r="C40" s="4">
        <v>0.61911000000000005</v>
      </c>
      <c r="D40" s="4">
        <v>1.8651899999999999</v>
      </c>
      <c r="E40" s="5">
        <v>5.9</v>
      </c>
      <c r="G40"/>
    </row>
    <row r="41" spans="1:7" x14ac:dyDescent="0.35">
      <c r="A41" s="1" t="s">
        <v>40</v>
      </c>
      <c r="B41" s="2">
        <v>1.8100000000000002E-2</v>
      </c>
      <c r="C41" s="4">
        <v>-0.46760000000000002</v>
      </c>
      <c r="D41" s="4">
        <v>1.63096</v>
      </c>
      <c r="E41" s="5">
        <v>5.6</v>
      </c>
      <c r="G41"/>
    </row>
    <row r="42" spans="1:7" x14ac:dyDescent="0.35">
      <c r="A42" s="1" t="s">
        <v>41</v>
      </c>
      <c r="B42" s="2">
        <v>1.7000000000000001E-2</v>
      </c>
      <c r="C42" s="4">
        <v>0.97745000000000004</v>
      </c>
      <c r="D42" s="4">
        <v>0.60575999999999997</v>
      </c>
      <c r="E42" s="5">
        <v>5.4</v>
      </c>
      <c r="G42"/>
    </row>
    <row r="43" spans="1:7" x14ac:dyDescent="0.35">
      <c r="A43" s="1" t="s">
        <v>42</v>
      </c>
      <c r="B43" s="2">
        <v>1.6500000000000001E-2</v>
      </c>
      <c r="C43" s="4">
        <v>3.19191</v>
      </c>
      <c r="D43" s="4">
        <v>0.84552000000000005</v>
      </c>
      <c r="E43" s="5">
        <v>5.3</v>
      </c>
      <c r="G43"/>
    </row>
    <row r="44" spans="1:7" x14ac:dyDescent="0.35">
      <c r="A44" s="1" t="s">
        <v>43</v>
      </c>
      <c r="B44" s="2">
        <v>1.6299999999999999E-2</v>
      </c>
      <c r="C44" s="4">
        <v>0.91556000000000004</v>
      </c>
      <c r="D44" s="4">
        <v>1.19719</v>
      </c>
      <c r="E44" s="5">
        <v>5</v>
      </c>
      <c r="G44"/>
    </row>
    <row r="45" spans="1:7" x14ac:dyDescent="0.35">
      <c r="A45" s="1" t="s">
        <v>44</v>
      </c>
      <c r="B45" s="2">
        <v>1.55E-2</v>
      </c>
      <c r="C45" s="4">
        <v>3.771E-2</v>
      </c>
      <c r="D45" s="4">
        <v>0.66654000000000002</v>
      </c>
      <c r="E45" s="5">
        <v>5</v>
      </c>
      <c r="G45"/>
    </row>
    <row r="46" spans="1:7" x14ac:dyDescent="0.35">
      <c r="A46" s="1" t="s">
        <v>45</v>
      </c>
      <c r="B46" s="2">
        <v>1.49E-2</v>
      </c>
      <c r="C46" s="4">
        <v>0.85150999999999999</v>
      </c>
      <c r="D46" s="4">
        <v>0.18210999999999999</v>
      </c>
      <c r="E46" s="5">
        <v>5</v>
      </c>
      <c r="G46"/>
    </row>
    <row r="47" spans="1:7" x14ac:dyDescent="0.35">
      <c r="A47" s="1" t="s">
        <v>46</v>
      </c>
      <c r="B47" s="2">
        <v>1.41E-2</v>
      </c>
      <c r="C47" s="4">
        <v>3.0103499999999999</v>
      </c>
      <c r="D47" s="4">
        <v>0.49252000000000001</v>
      </c>
      <c r="E47" s="5">
        <v>4.9000000000000004</v>
      </c>
      <c r="G47"/>
    </row>
    <row r="48" spans="1:7" x14ac:dyDescent="0.35">
      <c r="A48" s="1" t="s">
        <v>47</v>
      </c>
      <c r="B48" s="2">
        <v>1.29E-2</v>
      </c>
      <c r="C48" s="4">
        <v>1.1137600000000001</v>
      </c>
      <c r="D48" s="4">
        <v>1.00275</v>
      </c>
      <c r="E48" s="5">
        <v>5</v>
      </c>
      <c r="G48"/>
    </row>
    <row r="49" spans="1:7" x14ac:dyDescent="0.35">
      <c r="A49" s="1" t="s">
        <v>48</v>
      </c>
      <c r="B49" s="2">
        <v>1.29E-2</v>
      </c>
      <c r="C49" s="4">
        <v>0.24792</v>
      </c>
      <c r="D49" s="4">
        <v>0.96697</v>
      </c>
      <c r="E49" s="5">
        <v>4.7</v>
      </c>
      <c r="G49"/>
    </row>
    <row r="50" spans="1:7" x14ac:dyDescent="0.35">
      <c r="A50" s="1" t="s">
        <v>49</v>
      </c>
      <c r="B50" s="2">
        <v>1.24E-2</v>
      </c>
      <c r="C50" s="4">
        <v>1.15462</v>
      </c>
      <c r="D50" s="4">
        <v>1.0413600000000001</v>
      </c>
      <c r="E50" s="5">
        <v>4.4000000000000004</v>
      </c>
      <c r="G50"/>
    </row>
    <row r="51" spans="1:7" x14ac:dyDescent="0.35">
      <c r="A51" s="1" t="s">
        <v>50</v>
      </c>
      <c r="B51" s="2">
        <v>1.23E-2</v>
      </c>
      <c r="C51" s="4">
        <v>3.07423</v>
      </c>
      <c r="D51" s="4">
        <v>0.99900999999999995</v>
      </c>
      <c r="E51" s="5">
        <v>4.3</v>
      </c>
      <c r="G51"/>
    </row>
    <row r="52" spans="1:7" x14ac:dyDescent="0.35">
      <c r="A52" s="1" t="s">
        <v>51</v>
      </c>
      <c r="B52" s="2">
        <v>1.24E-2</v>
      </c>
      <c r="C52" s="4">
        <v>1.32586</v>
      </c>
      <c r="D52" s="4">
        <v>0.82240000000000002</v>
      </c>
      <c r="E52" s="5">
        <v>4.3</v>
      </c>
      <c r="G52"/>
    </row>
    <row r="53" spans="1:7" x14ac:dyDescent="0.35">
      <c r="A53" s="1" t="s">
        <v>52</v>
      </c>
      <c r="B53" s="2">
        <v>1.1399999999999999E-2</v>
      </c>
      <c r="C53" s="4">
        <v>0.52925999999999995</v>
      </c>
      <c r="D53" s="4">
        <v>1.30643</v>
      </c>
      <c r="E53" s="5">
        <v>4.0999999999999996</v>
      </c>
      <c r="G53"/>
    </row>
    <row r="54" spans="1:7" x14ac:dyDescent="0.35">
      <c r="A54" s="1" t="s">
        <v>53</v>
      </c>
      <c r="B54" s="2">
        <v>2.5099999999999997E-2</v>
      </c>
      <c r="C54" s="4">
        <v>1.39201</v>
      </c>
      <c r="D54" s="4">
        <v>1.74935</v>
      </c>
      <c r="E54" s="5">
        <v>4</v>
      </c>
      <c r="G54"/>
    </row>
    <row r="55" spans="1:7" x14ac:dyDescent="0.35">
      <c r="A55" s="1" t="s">
        <v>54</v>
      </c>
      <c r="B55" s="2">
        <v>2.3099999999999999E-2</v>
      </c>
      <c r="C55" s="4">
        <v>2.75386</v>
      </c>
      <c r="D55" s="4">
        <v>1.4546300000000001</v>
      </c>
      <c r="E55" s="5">
        <v>4</v>
      </c>
      <c r="G55"/>
    </row>
    <row r="56" spans="1:7" x14ac:dyDescent="0.35">
      <c r="A56" s="1" t="s">
        <v>55</v>
      </c>
      <c r="B56" s="2">
        <v>1.8700000000000001E-2</v>
      </c>
      <c r="C56" s="4">
        <v>0.65334999999999999</v>
      </c>
      <c r="D56" s="4">
        <v>1.2414000000000001</v>
      </c>
      <c r="E56" s="5">
        <v>3.7</v>
      </c>
      <c r="G56"/>
    </row>
    <row r="57" spans="1:7" x14ac:dyDescent="0.35">
      <c r="A57" s="1" t="s">
        <v>56</v>
      </c>
      <c r="B57" s="2">
        <v>2.2799999999999997E-2</v>
      </c>
      <c r="C57" s="4">
        <v>-0.33015</v>
      </c>
      <c r="D57" s="4">
        <v>1.0583499999999999</v>
      </c>
      <c r="E57" s="5">
        <v>3.9</v>
      </c>
      <c r="G57"/>
    </row>
    <row r="58" spans="1:7" x14ac:dyDescent="0.35">
      <c r="A58" s="1" t="s">
        <v>57</v>
      </c>
      <c r="B58" s="2">
        <v>2.9100000000000001E-2</v>
      </c>
      <c r="C58" s="4">
        <v>0.52471999999999996</v>
      </c>
      <c r="D58" s="4">
        <v>0.57281000000000004</v>
      </c>
      <c r="E58" s="5">
        <v>3.8</v>
      </c>
      <c r="G58"/>
    </row>
    <row r="59" spans="1:7" x14ac:dyDescent="0.35">
      <c r="A59" s="1" t="s">
        <v>58</v>
      </c>
      <c r="B59" s="2">
        <v>2.8799999999999999E-2</v>
      </c>
      <c r="C59" s="4">
        <v>2.3406500000000001</v>
      </c>
      <c r="D59" s="4">
        <v>0.92615999999999998</v>
      </c>
      <c r="E59" s="5">
        <v>3.6</v>
      </c>
      <c r="G59"/>
    </row>
    <row r="60" spans="1:7" x14ac:dyDescent="0.35">
      <c r="A60" s="1" t="s">
        <v>59</v>
      </c>
      <c r="B60" s="2">
        <v>3.5200000000000002E-2</v>
      </c>
      <c r="C60" s="4">
        <v>0.61119999999999997</v>
      </c>
      <c r="D60" s="4">
        <v>1.3563099999999999</v>
      </c>
      <c r="E60" s="5">
        <v>3.5</v>
      </c>
      <c r="G60"/>
    </row>
    <row r="61" spans="1:7" x14ac:dyDescent="0.35">
      <c r="A61" s="1" t="s">
        <v>60</v>
      </c>
      <c r="B61" s="2">
        <v>4.3400000000000001E-2</v>
      </c>
      <c r="C61" s="4">
        <v>0.17229</v>
      </c>
      <c r="D61" s="4">
        <v>1.4918899999999999</v>
      </c>
      <c r="E61" s="5">
        <v>3.6</v>
      </c>
      <c r="G61"/>
    </row>
    <row r="62" spans="1:7" x14ac:dyDescent="0.35">
      <c r="A62" s="1" t="s">
        <v>61</v>
      </c>
      <c r="B62" s="2">
        <v>6.8900000000000003E-2</v>
      </c>
      <c r="C62" s="4">
        <v>1.3928700000000001</v>
      </c>
      <c r="D62" s="4">
        <v>0.99482000000000004</v>
      </c>
      <c r="E62" s="5">
        <v>4.4000000000000004</v>
      </c>
      <c r="G62"/>
    </row>
    <row r="63" spans="1:7" x14ac:dyDescent="0.35">
      <c r="A63" s="1" t="s">
        <v>62</v>
      </c>
      <c r="B63" s="2">
        <v>7.51E-2</v>
      </c>
      <c r="C63" s="4">
        <v>2.14473</v>
      </c>
      <c r="D63" s="4">
        <v>-0.93720999999999999</v>
      </c>
      <c r="E63" s="5">
        <v>11</v>
      </c>
      <c r="G63"/>
    </row>
    <row r="64" spans="1:7" x14ac:dyDescent="0.35">
      <c r="A64" s="1" t="s">
        <v>63</v>
      </c>
      <c r="B64" s="2">
        <v>7.2900000000000006E-2</v>
      </c>
      <c r="C64" s="4">
        <v>3.1816200000000001</v>
      </c>
      <c r="D64" s="4">
        <v>-8.2485300000000006</v>
      </c>
      <c r="E64" s="5">
        <v>7.8</v>
      </c>
      <c r="G64"/>
    </row>
    <row r="65" spans="1:7" x14ac:dyDescent="0.35">
      <c r="A65" s="1" t="s">
        <v>64</v>
      </c>
      <c r="B65" s="2">
        <v>6.1100000000000002E-2</v>
      </c>
      <c r="C65" s="4">
        <v>3.3339699999999999</v>
      </c>
      <c r="D65" s="4">
        <v>8.7738600000000009</v>
      </c>
      <c r="E65" s="5">
        <v>6.7</v>
      </c>
      <c r="G65"/>
    </row>
    <row r="66" spans="1:7" x14ac:dyDescent="0.35">
      <c r="A66" s="1" t="s">
        <v>65</v>
      </c>
      <c r="B66" s="2">
        <v>2.7000000000000003E-2</v>
      </c>
      <c r="C66" s="4">
        <v>4.2018700000000004</v>
      </c>
      <c r="D66" s="4">
        <v>1.7718400000000001</v>
      </c>
      <c r="E66" s="5">
        <v>6.1</v>
      </c>
      <c r="G66"/>
    </row>
    <row r="67" spans="1:7" x14ac:dyDescent="0.35">
      <c r="A67" s="1" t="s">
        <v>66</v>
      </c>
      <c r="B67" s="2">
        <v>1.8000000000000002E-2</v>
      </c>
      <c r="C67" s="4">
        <v>6.9419899999999997</v>
      </c>
      <c r="D67" s="4">
        <v>2.66452</v>
      </c>
      <c r="E67" s="5">
        <v>5.9</v>
      </c>
    </row>
    <row r="68" spans="1:7" x14ac:dyDescent="0.35">
      <c r="A68" s="1" t="s">
        <v>67</v>
      </c>
      <c r="B68" s="2">
        <v>1.1200000000000002E-2</v>
      </c>
      <c r="C68" s="4">
        <v>3.92882</v>
      </c>
      <c r="D68" s="4">
        <v>3.1428500000000001</v>
      </c>
      <c r="E68" s="5">
        <v>4.7</v>
      </c>
    </row>
    <row r="69" spans="1:7" x14ac:dyDescent="0.35">
      <c r="A69" s="1" t="s">
        <v>68</v>
      </c>
      <c r="B69" s="2">
        <v>1.1200000000000002E-2</v>
      </c>
      <c r="C69" s="4">
        <v>2.63368</v>
      </c>
      <c r="D69" s="4">
        <v>2.3669500000000001</v>
      </c>
      <c r="E69" s="5">
        <v>3.9</v>
      </c>
    </row>
    <row r="70" spans="1:7" x14ac:dyDescent="0.35">
      <c r="C70" s="4"/>
      <c r="D70" s="4"/>
      <c r="E70" s="5"/>
    </row>
    <row r="71" spans="1:7" x14ac:dyDescent="0.35">
      <c r="D71" s="4"/>
    </row>
    <row r="72" spans="1:7" x14ac:dyDescent="0.35">
      <c r="D72" s="4"/>
    </row>
    <row r="73" spans="1:7" x14ac:dyDescent="0.35">
      <c r="D73" s="4"/>
    </row>
    <row r="74" spans="1:7" x14ac:dyDescent="0.35">
      <c r="D74" s="4"/>
    </row>
    <row r="75" spans="1:7" x14ac:dyDescent="0.35">
      <c r="D75" s="4"/>
    </row>
    <row r="76" spans="1:7" x14ac:dyDescent="0.35">
      <c r="D76" s="4"/>
    </row>
    <row r="77" spans="1:7" x14ac:dyDescent="0.35">
      <c r="D77" s="4"/>
    </row>
    <row r="78" spans="1:7" x14ac:dyDescent="0.35">
      <c r="D78" s="4"/>
    </row>
    <row r="79" spans="1:7" x14ac:dyDescent="0.35">
      <c r="D79" s="4"/>
    </row>
    <row r="80" spans="1:7" x14ac:dyDescent="0.35">
      <c r="D80" s="4"/>
    </row>
    <row r="81" spans="4:4" x14ac:dyDescent="0.35">
      <c r="D81" s="4"/>
    </row>
    <row r="82" spans="4:4" x14ac:dyDescent="0.35">
      <c r="D82" s="4"/>
    </row>
    <row r="83" spans="4:4" x14ac:dyDescent="0.35">
      <c r="D83" s="4"/>
    </row>
  </sheetData>
  <sheetProtection algorithmName="SHA-512" hashValue="KqO+aJZIh/UQLZU7ZTtH2DSMjWxfQTSE1BKaeIh9yQYvS5H14G+GYQvfti+/SbID1+tzLD+xxmnTD3hwBd3QqQ==" saltValue="SuFKDGsWZJ0blqfCUB5cZw==" spinCount="100000" sheet="1" objects="1" scenarios="1" selectLockedCells="1" selectUnlockedCells="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D8586D-E7DC-4481-B6B0-9CF430310F19}">
  <dimension ref="A3:W71"/>
  <sheetViews>
    <sheetView zoomScale="143" zoomScaleNormal="130" workbookViewId="0">
      <selection activeCell="G3" sqref="A1:XFD1048576"/>
    </sheetView>
  </sheetViews>
  <sheetFormatPr defaultColWidth="9.1796875" defaultRowHeight="14.5" x14ac:dyDescent="0.35"/>
  <cols>
    <col min="1" max="1" width="9.1796875" style="1"/>
    <col min="2" max="2" width="12.453125" style="1" bestFit="1" customWidth="1"/>
    <col min="3" max="3" width="15.26953125" style="1" bestFit="1" customWidth="1"/>
    <col min="4" max="4" width="23" style="1" bestFit="1" customWidth="1"/>
    <col min="5" max="5" width="14.453125" style="1" bestFit="1" customWidth="1"/>
    <col min="6" max="15" width="9.1796875" style="1"/>
    <col min="16" max="16" width="11.54296875" style="1" customWidth="1"/>
    <col min="17" max="17" width="13.7265625" style="1" customWidth="1"/>
    <col min="18" max="18" width="9.1796875" style="1"/>
    <col min="19" max="19" width="11.54296875" style="1" customWidth="1"/>
    <col min="20" max="16384" width="9.1796875" style="1"/>
  </cols>
  <sheetData>
    <row r="3" spans="1:20" x14ac:dyDescent="0.35">
      <c r="A3" s="19"/>
      <c r="B3" s="22" t="s">
        <v>117</v>
      </c>
      <c r="C3" s="23" t="s">
        <v>114</v>
      </c>
      <c r="D3" s="23" t="s">
        <v>115</v>
      </c>
      <c r="E3" s="24" t="s">
        <v>116</v>
      </c>
      <c r="F3" s="10"/>
      <c r="G3" s="10"/>
      <c r="H3" s="10"/>
    </row>
    <row r="4" spans="1:20" x14ac:dyDescent="0.35">
      <c r="B4" s="1">
        <v>1</v>
      </c>
      <c r="C4" s="21">
        <v>2</v>
      </c>
      <c r="D4" s="21">
        <v>6</v>
      </c>
      <c r="E4" s="21">
        <v>4</v>
      </c>
    </row>
    <row r="5" spans="1:20" x14ac:dyDescent="0.35">
      <c r="B5" s="20">
        <v>2</v>
      </c>
      <c r="C5" s="21">
        <v>1.9894736842105261</v>
      </c>
      <c r="D5" s="21">
        <v>5.9736842105263159</v>
      </c>
      <c r="E5" s="21">
        <v>3.9736842105263159</v>
      </c>
    </row>
    <row r="6" spans="1:20" x14ac:dyDescent="0.35">
      <c r="B6" s="1">
        <v>3</v>
      </c>
      <c r="C6" s="21">
        <v>1.978947368421053</v>
      </c>
      <c r="D6" s="21">
        <v>5.9473684210526319</v>
      </c>
      <c r="E6" s="21">
        <v>3.947368421052631</v>
      </c>
      <c r="O6" s="18"/>
      <c r="P6" s="18"/>
    </row>
    <row r="7" spans="1:20" x14ac:dyDescent="0.35">
      <c r="B7" s="20">
        <v>4</v>
      </c>
      <c r="C7" s="21">
        <v>1.9684210526315791</v>
      </c>
      <c r="D7" s="21">
        <v>5.9210526315789478</v>
      </c>
      <c r="E7" s="21">
        <v>3.9210526315789469</v>
      </c>
    </row>
    <row r="8" spans="1:20" x14ac:dyDescent="0.35">
      <c r="B8" s="1">
        <v>5</v>
      </c>
      <c r="C8" s="21">
        <v>1.9578947368421049</v>
      </c>
      <c r="D8" s="21">
        <v>5.8947368421052628</v>
      </c>
      <c r="E8" s="21">
        <v>3.8947368421052628</v>
      </c>
    </row>
    <row r="9" spans="1:20" x14ac:dyDescent="0.35">
      <c r="B9" s="20">
        <v>6</v>
      </c>
      <c r="C9" s="21">
        <v>1.9473684210526321</v>
      </c>
      <c r="D9" s="21">
        <v>5.8684210526315788</v>
      </c>
      <c r="E9" s="21">
        <v>3.8684210526315792</v>
      </c>
    </row>
    <row r="10" spans="1:20" x14ac:dyDescent="0.35">
      <c r="B10" s="1">
        <v>7</v>
      </c>
      <c r="C10" s="21">
        <v>1.9368421052631579</v>
      </c>
      <c r="D10" s="21">
        <v>5.8421052631578947</v>
      </c>
      <c r="E10" s="21">
        <v>3.8421052631578951</v>
      </c>
    </row>
    <row r="11" spans="1:20" x14ac:dyDescent="0.35">
      <c r="B11" s="20">
        <v>8</v>
      </c>
      <c r="C11" s="21">
        <v>1.926315789473684</v>
      </c>
      <c r="D11" s="21">
        <v>5.8157894736842106</v>
      </c>
      <c r="E11" s="21">
        <v>3.8157894736842111</v>
      </c>
    </row>
    <row r="12" spans="1:20" x14ac:dyDescent="0.35">
      <c r="B12" s="1">
        <v>9</v>
      </c>
      <c r="C12" s="21">
        <v>1.91578947368421</v>
      </c>
      <c r="D12" s="21">
        <v>5.7894736842105274</v>
      </c>
      <c r="E12" s="21">
        <v>3.789473684210527</v>
      </c>
    </row>
    <row r="13" spans="1:20" x14ac:dyDescent="0.35">
      <c r="B13" s="20">
        <v>10</v>
      </c>
      <c r="C13" s="21">
        <v>1.905263157894737</v>
      </c>
      <c r="D13" s="21">
        <v>5.7631578947368416</v>
      </c>
      <c r="E13" s="21">
        <v>3.763157894736842</v>
      </c>
    </row>
    <row r="14" spans="1:20" x14ac:dyDescent="0.35">
      <c r="B14" s="1">
        <v>11</v>
      </c>
      <c r="C14" s="21">
        <v>1.8947368421052631</v>
      </c>
      <c r="D14" s="21">
        <v>5.7368421052631584</v>
      </c>
      <c r="E14" s="21">
        <v>3.736842105263158</v>
      </c>
      <c r="O14" s="18"/>
      <c r="P14" s="18"/>
      <c r="Q14" s="18"/>
      <c r="R14" s="18"/>
      <c r="S14" s="18"/>
      <c r="T14" s="18"/>
    </row>
    <row r="15" spans="1:20" x14ac:dyDescent="0.35">
      <c r="B15" s="20">
        <v>12</v>
      </c>
      <c r="C15" s="21">
        <v>1.88421052631579</v>
      </c>
      <c r="D15" s="21">
        <v>5.7105263157894726</v>
      </c>
      <c r="E15" s="21">
        <v>3.710526315789473</v>
      </c>
    </row>
    <row r="16" spans="1:20" x14ac:dyDescent="0.35">
      <c r="B16" s="1">
        <v>13</v>
      </c>
      <c r="C16" s="21">
        <v>1.8736842105263161</v>
      </c>
      <c r="D16" s="21">
        <v>5.6842105263157894</v>
      </c>
      <c r="E16" s="21">
        <v>3.6842105263157889</v>
      </c>
    </row>
    <row r="17" spans="2:23" x14ac:dyDescent="0.35">
      <c r="B17" s="20">
        <v>14</v>
      </c>
      <c r="C17" s="21">
        <v>1.8631578947368419</v>
      </c>
      <c r="D17" s="21">
        <v>5.6578947368421053</v>
      </c>
      <c r="E17" s="21">
        <v>3.6578947368421049</v>
      </c>
    </row>
    <row r="18" spans="2:23" x14ac:dyDescent="0.35">
      <c r="B18" s="1">
        <v>15</v>
      </c>
      <c r="C18" s="21">
        <v>1.852631578947368</v>
      </c>
      <c r="D18" s="21">
        <v>5.6315789473684212</v>
      </c>
      <c r="E18" s="21">
        <v>3.6315789473684208</v>
      </c>
    </row>
    <row r="19" spans="2:23" x14ac:dyDescent="0.35">
      <c r="B19" s="20">
        <v>16</v>
      </c>
      <c r="C19" s="21">
        <v>1.8421052631578949</v>
      </c>
      <c r="D19" s="21">
        <v>5.6052631578947372</v>
      </c>
      <c r="E19" s="21">
        <v>3.6052631578947372</v>
      </c>
      <c r="O19" s="18"/>
      <c r="P19" s="18"/>
      <c r="Q19" s="18"/>
      <c r="R19" s="18"/>
      <c r="S19" s="18"/>
      <c r="T19" s="18"/>
      <c r="U19" s="18"/>
      <c r="V19" s="18"/>
      <c r="W19" s="18"/>
    </row>
    <row r="20" spans="2:23" x14ac:dyDescent="0.35">
      <c r="B20" s="1">
        <v>17</v>
      </c>
      <c r="C20" s="21">
        <v>1.831578947368421</v>
      </c>
      <c r="D20" s="21">
        <v>5.5789473684210531</v>
      </c>
      <c r="E20" s="21">
        <v>3.5789473684210531</v>
      </c>
    </row>
    <row r="21" spans="2:23" x14ac:dyDescent="0.35">
      <c r="B21" s="20">
        <v>18</v>
      </c>
      <c r="C21" s="21">
        <v>1.821052631578947</v>
      </c>
      <c r="D21" s="21">
        <v>5.5526315789473681</v>
      </c>
      <c r="E21" s="21">
        <v>3.552631578947369</v>
      </c>
    </row>
    <row r="22" spans="2:23" x14ac:dyDescent="0.35">
      <c r="B22" s="1">
        <v>19</v>
      </c>
      <c r="C22" s="21">
        <v>1.810526315789474</v>
      </c>
      <c r="D22" s="21">
        <v>5.5263157894736841</v>
      </c>
      <c r="E22" s="21">
        <v>3.5263157894736841</v>
      </c>
    </row>
    <row r="23" spans="2:23" x14ac:dyDescent="0.35">
      <c r="B23" s="20">
        <v>20</v>
      </c>
      <c r="C23" s="21">
        <v>1.8</v>
      </c>
      <c r="D23" s="21">
        <v>5.5</v>
      </c>
      <c r="E23" s="21">
        <v>3.5</v>
      </c>
    </row>
    <row r="24" spans="2:23" x14ac:dyDescent="0.35">
      <c r="C24" s="4"/>
      <c r="D24" s="8"/>
      <c r="E24" s="5"/>
    </row>
    <row r="25" spans="2:23" x14ac:dyDescent="0.35">
      <c r="C25" s="4"/>
      <c r="D25" s="8"/>
      <c r="E25" s="5"/>
    </row>
    <row r="26" spans="2:23" x14ac:dyDescent="0.35">
      <c r="C26" s="4"/>
      <c r="D26" s="8"/>
      <c r="E26" s="5"/>
    </row>
    <row r="27" spans="2:23" x14ac:dyDescent="0.35">
      <c r="C27" s="4"/>
      <c r="D27" s="8"/>
      <c r="E27" s="5"/>
    </row>
    <row r="28" spans="2:23" x14ac:dyDescent="0.35">
      <c r="C28" s="4"/>
      <c r="D28" s="8"/>
      <c r="E28" s="5"/>
    </row>
    <row r="29" spans="2:23" x14ac:dyDescent="0.35">
      <c r="C29" s="4"/>
      <c r="D29" s="8"/>
      <c r="E29" s="5"/>
      <c r="L29" s="18"/>
      <c r="M29" s="18"/>
    </row>
    <row r="30" spans="2:23" x14ac:dyDescent="0.35">
      <c r="C30" s="4"/>
      <c r="D30" s="8"/>
      <c r="E30" s="5"/>
    </row>
    <row r="31" spans="2:23" x14ac:dyDescent="0.35">
      <c r="C31" s="4"/>
      <c r="D31" s="8"/>
      <c r="E31" s="5"/>
    </row>
    <row r="32" spans="2:23" x14ac:dyDescent="0.35">
      <c r="C32" s="4"/>
      <c r="D32" s="8"/>
      <c r="E32" s="5"/>
    </row>
    <row r="33" spans="3:20" x14ac:dyDescent="0.35">
      <c r="C33" s="4"/>
      <c r="D33" s="8"/>
      <c r="E33" s="5"/>
    </row>
    <row r="34" spans="3:20" x14ac:dyDescent="0.35">
      <c r="C34" s="4"/>
      <c r="D34" s="8"/>
      <c r="E34" s="5"/>
    </row>
    <row r="35" spans="3:20" x14ac:dyDescent="0.35">
      <c r="C35" s="4"/>
      <c r="D35" s="8"/>
      <c r="E35" s="5"/>
    </row>
    <row r="36" spans="3:20" x14ac:dyDescent="0.35">
      <c r="C36" s="4"/>
      <c r="D36" s="8"/>
      <c r="E36" s="5"/>
    </row>
    <row r="37" spans="3:20" x14ac:dyDescent="0.35">
      <c r="C37" s="4"/>
      <c r="D37" s="8"/>
      <c r="E37" s="5"/>
      <c r="L37" s="18"/>
      <c r="M37" s="18"/>
      <c r="N37" s="18"/>
      <c r="O37" s="18"/>
      <c r="P37" s="18"/>
      <c r="Q37" s="18"/>
    </row>
    <row r="38" spans="3:20" x14ac:dyDescent="0.35">
      <c r="C38" s="4"/>
      <c r="D38" s="8"/>
      <c r="E38" s="5"/>
    </row>
    <row r="39" spans="3:20" x14ac:dyDescent="0.35">
      <c r="C39" s="4"/>
      <c r="D39" s="8"/>
      <c r="E39" s="5"/>
    </row>
    <row r="40" spans="3:20" x14ac:dyDescent="0.35">
      <c r="C40" s="4"/>
      <c r="D40" s="8"/>
      <c r="E40" s="5"/>
    </row>
    <row r="41" spans="3:20" x14ac:dyDescent="0.35">
      <c r="C41" s="4"/>
      <c r="D41" s="8"/>
      <c r="E41" s="5"/>
    </row>
    <row r="42" spans="3:20" x14ac:dyDescent="0.35">
      <c r="C42" s="4"/>
      <c r="D42" s="8"/>
      <c r="E42" s="5"/>
      <c r="L42" s="18"/>
      <c r="M42" s="18"/>
      <c r="N42" s="18"/>
      <c r="O42" s="18"/>
      <c r="P42" s="18"/>
      <c r="Q42" s="18"/>
      <c r="R42" s="18"/>
      <c r="S42" s="18"/>
      <c r="T42" s="18"/>
    </row>
    <row r="43" spans="3:20" x14ac:dyDescent="0.35">
      <c r="C43" s="4"/>
      <c r="D43" s="8"/>
      <c r="E43" s="5"/>
    </row>
    <row r="44" spans="3:20" x14ac:dyDescent="0.35">
      <c r="C44" s="4"/>
      <c r="D44" s="8"/>
      <c r="E44" s="5"/>
    </row>
    <row r="45" spans="3:20" x14ac:dyDescent="0.35">
      <c r="C45" s="4"/>
      <c r="D45" s="8"/>
      <c r="E45" s="5"/>
    </row>
    <row r="46" spans="3:20" x14ac:dyDescent="0.35">
      <c r="C46" s="4"/>
      <c r="D46" s="8"/>
      <c r="E46" s="5"/>
    </row>
    <row r="47" spans="3:20" x14ac:dyDescent="0.35">
      <c r="C47" s="4"/>
      <c r="D47" s="8"/>
      <c r="E47" s="5"/>
    </row>
    <row r="48" spans="3:20" x14ac:dyDescent="0.35">
      <c r="C48" s="4"/>
      <c r="D48" s="8"/>
      <c r="E48" s="5"/>
    </row>
    <row r="49" spans="3:5" x14ac:dyDescent="0.35">
      <c r="C49" s="4"/>
      <c r="D49" s="8"/>
      <c r="E49" s="5"/>
    </row>
    <row r="50" spans="3:5" x14ac:dyDescent="0.35">
      <c r="C50" s="4"/>
      <c r="D50" s="8"/>
      <c r="E50" s="5"/>
    </row>
    <row r="51" spans="3:5" x14ac:dyDescent="0.35">
      <c r="C51" s="4"/>
      <c r="D51" s="8"/>
      <c r="E51" s="5"/>
    </row>
    <row r="52" spans="3:5" x14ac:dyDescent="0.35">
      <c r="C52" s="4"/>
      <c r="D52" s="8"/>
      <c r="E52" s="5"/>
    </row>
    <row r="53" spans="3:5" x14ac:dyDescent="0.35">
      <c r="C53" s="4"/>
      <c r="D53" s="8"/>
      <c r="E53" s="5"/>
    </row>
    <row r="54" spans="3:5" x14ac:dyDescent="0.35">
      <c r="C54" s="4"/>
      <c r="D54" s="8"/>
      <c r="E54" s="5"/>
    </row>
    <row r="55" spans="3:5" x14ac:dyDescent="0.35">
      <c r="C55" s="4"/>
      <c r="D55" s="8"/>
      <c r="E55" s="5"/>
    </row>
    <row r="56" spans="3:5" x14ac:dyDescent="0.35">
      <c r="C56" s="4"/>
      <c r="D56" s="8"/>
      <c r="E56" s="5"/>
    </row>
    <row r="57" spans="3:5" x14ac:dyDescent="0.35">
      <c r="C57" s="4"/>
      <c r="D57" s="8"/>
      <c r="E57" s="5"/>
    </row>
    <row r="58" spans="3:5" x14ac:dyDescent="0.35">
      <c r="C58" s="4"/>
      <c r="D58" s="8"/>
      <c r="E58" s="5"/>
    </row>
    <row r="59" spans="3:5" x14ac:dyDescent="0.35">
      <c r="C59" s="4"/>
      <c r="D59" s="8"/>
      <c r="E59" s="5"/>
    </row>
    <row r="60" spans="3:5" x14ac:dyDescent="0.35">
      <c r="C60" s="4"/>
      <c r="D60" s="8"/>
      <c r="E60" s="5"/>
    </row>
    <row r="61" spans="3:5" x14ac:dyDescent="0.35">
      <c r="C61" s="4"/>
      <c r="D61" s="8"/>
      <c r="E61" s="5"/>
    </row>
    <row r="62" spans="3:5" x14ac:dyDescent="0.35">
      <c r="C62" s="4"/>
      <c r="D62" s="8"/>
      <c r="E62" s="5"/>
    </row>
    <row r="63" spans="3:5" x14ac:dyDescent="0.35">
      <c r="C63" s="4"/>
      <c r="D63" s="8"/>
      <c r="E63" s="5"/>
    </row>
    <row r="64" spans="3:5" x14ac:dyDescent="0.35">
      <c r="C64" s="4"/>
      <c r="D64" s="8"/>
      <c r="E64" s="5"/>
    </row>
    <row r="65" spans="3:5" x14ac:dyDescent="0.35">
      <c r="C65" s="4"/>
      <c r="D65" s="8"/>
      <c r="E65" s="5"/>
    </row>
    <row r="66" spans="3:5" x14ac:dyDescent="0.35">
      <c r="C66" s="4"/>
      <c r="D66" s="8"/>
      <c r="E66" s="5"/>
    </row>
    <row r="67" spans="3:5" x14ac:dyDescent="0.35">
      <c r="C67" s="4"/>
      <c r="D67" s="8"/>
      <c r="E67" s="5"/>
    </row>
    <row r="68" spans="3:5" x14ac:dyDescent="0.35">
      <c r="C68" s="4"/>
      <c r="D68" s="8"/>
      <c r="E68" s="5"/>
    </row>
    <row r="69" spans="3:5" x14ac:dyDescent="0.35">
      <c r="C69" s="4"/>
      <c r="D69" s="8"/>
      <c r="E69" s="5"/>
    </row>
    <row r="70" spans="3:5" x14ac:dyDescent="0.35">
      <c r="C70" s="4"/>
      <c r="D70" s="8"/>
      <c r="E70" s="5"/>
    </row>
    <row r="71" spans="3:5" x14ac:dyDescent="0.35">
      <c r="C71" s="4"/>
      <c r="D71" s="8"/>
      <c r="E71" s="5"/>
    </row>
  </sheetData>
  <sheetProtection algorithmName="SHA-512" hashValue="4lDQr18yUGj76CrxrQR54/sL/TIDzem0vI9L/WAqZYUBKcqV0QPLctS75nhLxU4oiFM+QhrYNPjPLplLq4VQLQ==" saltValue="3X7mS8YwM9oSgnxUWJQQUA==" spinCount="100000" sheet="1" objects="1" scenarios="1" selectLockedCells="1" selectUnlockedCells="1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349986-CF60-4883-A4DC-CB6FF258823C}">
  <dimension ref="A1:AH170"/>
  <sheetViews>
    <sheetView showGridLines="0" zoomScale="85" workbookViewId="0">
      <selection activeCell="U13" sqref="A1:XFD1048576"/>
    </sheetView>
  </sheetViews>
  <sheetFormatPr defaultRowHeight="14.5" x14ac:dyDescent="0.35"/>
  <cols>
    <col min="1" max="1" width="16.54296875" bestFit="1" customWidth="1"/>
    <col min="2" max="2" width="12.453125" bestFit="1" customWidth="1"/>
    <col min="3" max="3" width="21.26953125" customWidth="1"/>
    <col min="4" max="4" width="22.453125" customWidth="1"/>
    <col min="5" max="5" width="20" customWidth="1"/>
    <col min="6" max="6" width="17.26953125" customWidth="1"/>
    <col min="7" max="7" width="18.7265625" customWidth="1"/>
    <col min="8" max="8" width="17.453125" customWidth="1"/>
    <col min="9" max="9" width="15.453125" customWidth="1"/>
    <col min="11" max="11" width="23" customWidth="1"/>
    <col min="12" max="12" width="20.54296875" customWidth="1"/>
    <col min="13" max="13" width="16.26953125" customWidth="1"/>
    <col min="15" max="15" width="20.1796875" customWidth="1"/>
    <col min="16" max="16" width="20.7265625" customWidth="1"/>
    <col min="17" max="17" width="24.7265625" customWidth="1"/>
    <col min="18" max="18" width="21.7265625" customWidth="1"/>
    <col min="23" max="23" width="9.54296875" customWidth="1"/>
    <col min="24" max="24" width="14.7265625" customWidth="1"/>
    <col min="25" max="25" width="16" customWidth="1"/>
    <col min="26" max="26" width="18" customWidth="1"/>
    <col min="27" max="27" width="19" customWidth="1"/>
    <col min="28" max="28" width="18.54296875" customWidth="1"/>
    <col min="29" max="29" width="10.81640625" customWidth="1"/>
    <col min="30" max="30" width="14.1796875" customWidth="1"/>
    <col min="31" max="31" width="15.26953125" customWidth="1"/>
    <col min="32" max="32" width="22.453125" customWidth="1"/>
    <col min="33" max="33" width="14.54296875" customWidth="1"/>
    <col min="34" max="34" width="22.1796875" bestFit="1" customWidth="1"/>
  </cols>
  <sheetData>
    <row r="1" spans="1:29" x14ac:dyDescent="0.35">
      <c r="B1" s="10" t="s">
        <v>98</v>
      </c>
      <c r="C1" s="16">
        <f>AVERAGE(C4:C71)</f>
        <v>0.8600229411764706</v>
      </c>
      <c r="D1" s="16">
        <f>AVERAGE(D4:D71)</f>
        <v>0.99627779411764694</v>
      </c>
      <c r="E1" s="10"/>
      <c r="F1" s="10"/>
      <c r="G1" s="10"/>
      <c r="H1" s="10"/>
      <c r="I1" s="1"/>
    </row>
    <row r="2" spans="1:29" x14ac:dyDescent="0.35">
      <c r="B2" s="10" t="s">
        <v>99</v>
      </c>
      <c r="C2" s="10">
        <f>_xlfn.STDEV.S(C4:C71)</f>
        <v>2.4311850168830413</v>
      </c>
      <c r="D2" s="10">
        <f>_xlfn.STDEV.S(D4:D71)</f>
        <v>1.6744966551504328</v>
      </c>
      <c r="E2" s="10"/>
      <c r="F2" s="10" t="s">
        <v>101</v>
      </c>
      <c r="G2" s="10"/>
      <c r="H2" s="10" t="s">
        <v>104</v>
      </c>
      <c r="I2" s="1"/>
      <c r="K2" s="10" t="s">
        <v>108</v>
      </c>
      <c r="L2" s="13">
        <v>6.8000000000000005E-2</v>
      </c>
      <c r="O2" s="10" t="s">
        <v>110</v>
      </c>
      <c r="P2" s="10" t="s">
        <v>111</v>
      </c>
      <c r="Q2" s="10" t="s">
        <v>112</v>
      </c>
      <c r="R2" s="10" t="s">
        <v>113</v>
      </c>
    </row>
    <row r="3" spans="1:29" x14ac:dyDescent="0.35">
      <c r="A3" s="11" t="s">
        <v>69</v>
      </c>
      <c r="B3" s="12" t="s">
        <v>0</v>
      </c>
      <c r="C3" s="11" t="s">
        <v>70</v>
      </c>
      <c r="D3" s="11" t="s">
        <v>124</v>
      </c>
      <c r="E3" s="11" t="s">
        <v>72</v>
      </c>
      <c r="F3" s="11" t="s">
        <v>100</v>
      </c>
      <c r="G3" s="11" t="s">
        <v>97</v>
      </c>
      <c r="H3" s="11" t="s">
        <v>102</v>
      </c>
      <c r="I3" s="11" t="s">
        <v>103</v>
      </c>
      <c r="J3" s="27"/>
      <c r="K3" s="10" t="s">
        <v>105</v>
      </c>
      <c r="L3" s="14">
        <f>AVERAGE(F4:F71)</f>
        <v>-1.9002165972993381</v>
      </c>
      <c r="M3" t="s">
        <v>109</v>
      </c>
      <c r="O3" s="15" t="s">
        <v>97</v>
      </c>
      <c r="P3" s="15" t="s">
        <v>70</v>
      </c>
      <c r="Q3" s="15" t="s">
        <v>71</v>
      </c>
      <c r="R3" s="15" t="s">
        <v>72</v>
      </c>
    </row>
    <row r="4" spans="1:29" x14ac:dyDescent="0.35">
      <c r="A4" s="1" t="s">
        <v>1</v>
      </c>
      <c r="B4" s="3">
        <v>1.3599999999999999E-2</v>
      </c>
      <c r="C4" s="4">
        <v>3.7221700000000002</v>
      </c>
      <c r="D4" s="4">
        <v>1.8033399999999999</v>
      </c>
      <c r="E4" s="5">
        <v>5.2</v>
      </c>
      <c r="F4" s="1">
        <f>_xlfn.NORM.S.INV(B4)</f>
        <v>-2.2086355582342128</v>
      </c>
      <c r="G4" s="1">
        <v>1.6254870440999847</v>
      </c>
      <c r="H4" s="1">
        <f>($L$3-SQRT($L$2)*G4)/SQRT(1-$L$2)</f>
        <v>-2.4073836940121827</v>
      </c>
      <c r="I4" s="1">
        <f>(F4-H4)^2</f>
        <v>3.9500821475218363E-2</v>
      </c>
      <c r="J4" s="25"/>
      <c r="K4" s="10" t="s">
        <v>106</v>
      </c>
      <c r="L4" s="14">
        <f>SUM((I5:I71))</f>
        <v>5.7416120509010357E-12</v>
      </c>
      <c r="O4" s="8">
        <f>G4</f>
        <v>1.6254870440999847</v>
      </c>
      <c r="P4" s="4">
        <f>C4</f>
        <v>3.7221700000000002</v>
      </c>
      <c r="Q4" s="5">
        <f>D4</f>
        <v>1.8033399999999999</v>
      </c>
      <c r="R4" s="5">
        <f>E4</f>
        <v>5.2</v>
      </c>
      <c r="S4" s="1"/>
    </row>
    <row r="5" spans="1:29" x14ac:dyDescent="0.35">
      <c r="A5" s="1" t="s">
        <v>2</v>
      </c>
      <c r="B5" s="3">
        <v>1.37E-2</v>
      </c>
      <c r="C5" s="4">
        <v>4.5206799999999996</v>
      </c>
      <c r="D5" s="4">
        <v>1.9164000000000001</v>
      </c>
      <c r="E5" s="5">
        <v>5</v>
      </c>
      <c r="F5" s="1">
        <f t="shared" ref="F5:F68" si="0">_xlfn.NORM.S.INV(B5)</f>
        <v>-2.2057715392725772</v>
      </c>
      <c r="G5" s="1">
        <v>0.87908858855722216</v>
      </c>
      <c r="H5" s="1">
        <f t="shared" ref="H5:H68" si="1">($L$3-SQRT($L$2)*G5)/SQRT(1-$L$2)</f>
        <v>-2.2057712973739596</v>
      </c>
      <c r="I5" s="1">
        <f>(F5-H5)^2</f>
        <v>5.8514941187681629E-14</v>
      </c>
      <c r="J5" s="25"/>
      <c r="K5" s="10" t="s">
        <v>107</v>
      </c>
      <c r="L5" s="14">
        <f>_xlfn.VAR.S(I5:I71)</f>
        <v>9.2402110098608547E-27</v>
      </c>
      <c r="O5" s="8">
        <f t="shared" ref="O5:O68" si="2">G5</f>
        <v>0.87908858855722216</v>
      </c>
      <c r="P5" s="4">
        <f t="shared" ref="P5:P68" si="3">C5</f>
        <v>4.5206799999999996</v>
      </c>
      <c r="Q5" s="5">
        <f t="shared" ref="Q5:Q68" si="4">D5</f>
        <v>1.9164000000000001</v>
      </c>
      <c r="R5" s="5">
        <f t="shared" ref="R5:R68" si="5">E5</f>
        <v>5</v>
      </c>
      <c r="S5" s="1"/>
      <c r="X5" t="s">
        <v>73</v>
      </c>
    </row>
    <row r="6" spans="1:29" ht="15" thickBot="1" x14ac:dyDescent="0.4">
      <c r="A6" s="1" t="s">
        <v>3</v>
      </c>
      <c r="B6" s="3">
        <v>1.3100000000000001E-2</v>
      </c>
      <c r="C6" s="4">
        <v>3.2525900000000001</v>
      </c>
      <c r="D6" s="4">
        <v>1.2169399999999999</v>
      </c>
      <c r="E6" s="5">
        <v>5</v>
      </c>
      <c r="F6" s="1">
        <f t="shared" si="0"/>
        <v>-2.2232343755118533</v>
      </c>
      <c r="G6" s="1">
        <v>0.94373850539524928</v>
      </c>
      <c r="H6" s="1">
        <f t="shared" si="1"/>
        <v>-2.2232341211236393</v>
      </c>
      <c r="I6" s="1">
        <f t="shared" ref="I6:I69" si="6">(F6-H6)^2</f>
        <v>6.4713363447206765E-14</v>
      </c>
      <c r="J6" s="25"/>
      <c r="M6" s="1"/>
      <c r="O6" s="8">
        <f t="shared" si="2"/>
        <v>0.94373850539524928</v>
      </c>
      <c r="P6" s="4">
        <f t="shared" si="3"/>
        <v>3.2525900000000001</v>
      </c>
      <c r="Q6" s="5">
        <f t="shared" si="4"/>
        <v>1.2169399999999999</v>
      </c>
      <c r="R6" s="5">
        <f t="shared" si="5"/>
        <v>5</v>
      </c>
      <c r="S6" s="1"/>
    </row>
    <row r="7" spans="1:29" x14ac:dyDescent="0.35">
      <c r="A7" s="1" t="s">
        <v>4</v>
      </c>
      <c r="B7" s="3">
        <v>1.2699999999999999E-2</v>
      </c>
      <c r="C7" s="4">
        <v>1.4053100000000001</v>
      </c>
      <c r="D7" s="4">
        <v>1.7023299999999999</v>
      </c>
      <c r="E7" s="5">
        <v>4.9000000000000004</v>
      </c>
      <c r="F7" s="1">
        <f>_xlfn.NORM.S.INV(B7)</f>
        <v>-2.2352643355705299</v>
      </c>
      <c r="G7" s="1">
        <v>0.98827593702120708</v>
      </c>
      <c r="H7" s="1">
        <f t="shared" si="1"/>
        <v>-2.2352642884739868</v>
      </c>
      <c r="I7" s="1">
        <f t="shared" si="6"/>
        <v>2.2180843728988176E-15</v>
      </c>
      <c r="J7" s="25"/>
      <c r="O7" s="8">
        <f t="shared" si="2"/>
        <v>0.98827593702120708</v>
      </c>
      <c r="P7" s="4">
        <f t="shared" si="3"/>
        <v>1.4053100000000001</v>
      </c>
      <c r="Q7" s="5">
        <f t="shared" si="4"/>
        <v>1.7023299999999999</v>
      </c>
      <c r="R7" s="5">
        <f t="shared" si="5"/>
        <v>4.9000000000000004</v>
      </c>
      <c r="S7" s="1"/>
      <c r="X7" s="38" t="s">
        <v>74</v>
      </c>
      <c r="Y7" s="38"/>
    </row>
    <row r="8" spans="1:29" x14ac:dyDescent="0.35">
      <c r="A8" s="1" t="s">
        <v>5</v>
      </c>
      <c r="B8" s="3">
        <v>1.32E-2</v>
      </c>
      <c r="C8" s="4">
        <v>1.46634</v>
      </c>
      <c r="D8" s="4">
        <v>1.38147</v>
      </c>
      <c r="E8" s="5">
        <v>4.7</v>
      </c>
      <c r="F8" s="1">
        <f t="shared" si="0"/>
        <v>-2.2202765609095434</v>
      </c>
      <c r="G8" s="1">
        <v>0.93278828444596584</v>
      </c>
      <c r="H8" s="1">
        <f t="shared" si="1"/>
        <v>-2.2202763171880755</v>
      </c>
      <c r="I8" s="1">
        <f t="shared" si="6"/>
        <v>5.9400153913530762E-14</v>
      </c>
      <c r="J8" s="25"/>
      <c r="O8" s="8">
        <f t="shared" si="2"/>
        <v>0.93278828444596584</v>
      </c>
      <c r="P8" s="4">
        <f t="shared" si="3"/>
        <v>1.46634</v>
      </c>
      <c r="Q8" s="5">
        <f t="shared" si="4"/>
        <v>1.38147</v>
      </c>
      <c r="R8" s="5">
        <f t="shared" si="5"/>
        <v>4.7</v>
      </c>
      <c r="X8" t="s">
        <v>75</v>
      </c>
      <c r="Y8">
        <v>0.77972782486584447</v>
      </c>
    </row>
    <row r="9" spans="1:29" x14ac:dyDescent="0.35">
      <c r="A9" s="1" t="s">
        <v>6</v>
      </c>
      <c r="B9" s="3">
        <v>1.3100000000000001E-2</v>
      </c>
      <c r="C9" s="4">
        <v>0.98385999999999996</v>
      </c>
      <c r="D9" s="4">
        <v>2.06358</v>
      </c>
      <c r="E9" s="5">
        <v>4.5999999999999996</v>
      </c>
      <c r="F9" s="1">
        <f t="shared" si="0"/>
        <v>-2.2232343755118533</v>
      </c>
      <c r="G9" s="1">
        <v>0.94373851350926852</v>
      </c>
      <c r="H9" s="1">
        <f t="shared" si="1"/>
        <v>-2.2232341233153465</v>
      </c>
      <c r="I9" s="1">
        <f t="shared" si="6"/>
        <v>6.3603078036677037E-14</v>
      </c>
      <c r="J9" s="25"/>
      <c r="O9" s="8">
        <f t="shared" si="2"/>
        <v>0.94373851350926852</v>
      </c>
      <c r="P9" s="4">
        <f t="shared" si="3"/>
        <v>0.98385999999999996</v>
      </c>
      <c r="Q9" s="5">
        <f t="shared" si="4"/>
        <v>2.06358</v>
      </c>
      <c r="R9" s="5">
        <f t="shared" si="5"/>
        <v>4.5999999999999996</v>
      </c>
      <c r="V9" s="17"/>
      <c r="W9" s="17"/>
      <c r="X9" t="s">
        <v>76</v>
      </c>
      <c r="Y9" s="39">
        <v>0.60797548087002107</v>
      </c>
    </row>
    <row r="10" spans="1:29" x14ac:dyDescent="0.35">
      <c r="A10" s="1" t="s">
        <v>7</v>
      </c>
      <c r="B10" s="3">
        <v>1.46E-2</v>
      </c>
      <c r="C10" s="4">
        <v>-0.18911</v>
      </c>
      <c r="D10" s="4">
        <v>1.13436</v>
      </c>
      <c r="E10" s="5">
        <v>4.5</v>
      </c>
      <c r="F10" s="1">
        <f t="shared" si="0"/>
        <v>-2.1807758452405013</v>
      </c>
      <c r="G10" s="1">
        <v>0.78655099573173015</v>
      </c>
      <c r="H10" s="1">
        <f t="shared" si="1"/>
        <v>-2.1807756322166503</v>
      </c>
      <c r="I10" s="1">
        <f t="shared" si="6"/>
        <v>4.5379161096324408E-14</v>
      </c>
      <c r="J10" s="25"/>
      <c r="O10" s="8">
        <f t="shared" si="2"/>
        <v>0.78655099573173015</v>
      </c>
      <c r="P10" s="4">
        <f t="shared" si="3"/>
        <v>-0.18911</v>
      </c>
      <c r="Q10" s="5">
        <f t="shared" si="4"/>
        <v>1.13436</v>
      </c>
      <c r="R10" s="5">
        <f t="shared" si="5"/>
        <v>4.5</v>
      </c>
      <c r="X10" t="s">
        <v>77</v>
      </c>
      <c r="Y10">
        <v>0.58959933153580335</v>
      </c>
    </row>
    <row r="11" spans="1:29" x14ac:dyDescent="0.35">
      <c r="A11" s="1" t="s">
        <v>8</v>
      </c>
      <c r="B11" s="3">
        <v>1.6799999999999999E-2</v>
      </c>
      <c r="C11" s="4">
        <v>-0.52605999999999997</v>
      </c>
      <c r="D11" s="4">
        <v>0.84897999999999996</v>
      </c>
      <c r="E11" s="5">
        <v>4.4000000000000004</v>
      </c>
      <c r="F11" s="1">
        <f t="shared" si="0"/>
        <v>-2.1248395912562255</v>
      </c>
      <c r="G11" s="1">
        <v>0.5794670798710575</v>
      </c>
      <c r="H11" s="1">
        <f t="shared" si="1"/>
        <v>-2.124839443882045</v>
      </c>
      <c r="I11" s="1">
        <f t="shared" si="6"/>
        <v>2.1719149052925804E-14</v>
      </c>
      <c r="J11" s="25"/>
      <c r="O11" s="8">
        <f t="shared" si="2"/>
        <v>0.5794670798710575</v>
      </c>
      <c r="P11" s="4">
        <f t="shared" si="3"/>
        <v>-0.52605999999999997</v>
      </c>
      <c r="Q11" s="5">
        <f t="shared" si="4"/>
        <v>0.84897999999999996</v>
      </c>
      <c r="R11" s="5">
        <f t="shared" si="5"/>
        <v>4.4000000000000004</v>
      </c>
      <c r="X11" t="s">
        <v>78</v>
      </c>
      <c r="Y11">
        <v>0.69641772995758677</v>
      </c>
    </row>
    <row r="12" spans="1:29" ht="15" thickBot="1" x14ac:dyDescent="0.4">
      <c r="A12" s="1" t="s">
        <v>9</v>
      </c>
      <c r="B12" s="3">
        <v>1.9400000000000001E-2</v>
      </c>
      <c r="C12" s="4">
        <v>-0.56540999999999997</v>
      </c>
      <c r="D12" s="4">
        <v>1.22112</v>
      </c>
      <c r="E12" s="5">
        <v>4.4000000000000004</v>
      </c>
      <c r="F12" s="1">
        <f t="shared" si="0"/>
        <v>-2.0663017106958548</v>
      </c>
      <c r="G12" s="1">
        <v>0.36275149114176841</v>
      </c>
      <c r="H12" s="1">
        <f t="shared" si="1"/>
        <v>-2.0663016094209548</v>
      </c>
      <c r="I12" s="1">
        <f t="shared" si="6"/>
        <v>1.0256605374418267E-14</v>
      </c>
      <c r="J12" s="25"/>
      <c r="O12" s="8">
        <f t="shared" si="2"/>
        <v>0.36275149114176841</v>
      </c>
      <c r="P12" s="4">
        <f t="shared" si="3"/>
        <v>-0.56540999999999997</v>
      </c>
      <c r="Q12" s="5">
        <f t="shared" si="4"/>
        <v>1.22112</v>
      </c>
      <c r="R12" s="5">
        <f t="shared" si="5"/>
        <v>4.4000000000000004</v>
      </c>
      <c r="X12" s="36" t="s">
        <v>79</v>
      </c>
      <c r="Y12" s="36">
        <v>68</v>
      </c>
    </row>
    <row r="13" spans="1:29" x14ac:dyDescent="0.35">
      <c r="A13" s="1" t="s">
        <v>10</v>
      </c>
      <c r="B13" s="3">
        <v>2.4E-2</v>
      </c>
      <c r="C13" s="4">
        <v>-0.35841000000000001</v>
      </c>
      <c r="D13" s="4">
        <v>1.2542500000000001</v>
      </c>
      <c r="E13" s="5">
        <v>4.5999999999999996</v>
      </c>
      <c r="F13" s="1">
        <f t="shared" si="0"/>
        <v>-1.9773684281819468</v>
      </c>
      <c r="G13" s="1">
        <v>3.3508144086510296E-2</v>
      </c>
      <c r="H13" s="1">
        <f t="shared" si="1"/>
        <v>-1.9773684936246052</v>
      </c>
      <c r="I13" s="1">
        <f t="shared" si="6"/>
        <v>4.2827415389132001E-15</v>
      </c>
      <c r="J13" s="25"/>
      <c r="O13" s="8">
        <f t="shared" si="2"/>
        <v>3.3508144086510296E-2</v>
      </c>
      <c r="P13" s="4">
        <f t="shared" si="3"/>
        <v>-0.35841000000000001</v>
      </c>
      <c r="Q13" s="5">
        <f t="shared" si="4"/>
        <v>1.2542500000000001</v>
      </c>
      <c r="R13" s="5">
        <f t="shared" si="5"/>
        <v>4.5999999999999996</v>
      </c>
    </row>
    <row r="14" spans="1:29" ht="15" thickBot="1" x14ac:dyDescent="0.4">
      <c r="A14" s="1" t="s">
        <v>11</v>
      </c>
      <c r="B14" s="3">
        <v>2.8900000000000002E-2</v>
      </c>
      <c r="C14" s="4">
        <v>-1.3319399999999999</v>
      </c>
      <c r="D14" s="4">
        <v>1.31145</v>
      </c>
      <c r="E14" s="5">
        <v>4.7</v>
      </c>
      <c r="F14" s="1">
        <f t="shared" si="0"/>
        <v>-1.8972117248955316</v>
      </c>
      <c r="G14" s="1">
        <v>-0.26324413742527214</v>
      </c>
      <c r="H14" s="1">
        <f t="shared" si="1"/>
        <v>-1.8972116575015385</v>
      </c>
      <c r="I14" s="1">
        <f t="shared" si="6"/>
        <v>4.5419502996128298E-15</v>
      </c>
      <c r="J14" s="25"/>
      <c r="O14" s="8">
        <f t="shared" si="2"/>
        <v>-0.26324413742527214</v>
      </c>
      <c r="P14" s="4">
        <f t="shared" si="3"/>
        <v>-1.3319399999999999</v>
      </c>
      <c r="Q14" s="5">
        <f t="shared" si="4"/>
        <v>1.31145</v>
      </c>
      <c r="R14" s="5">
        <f t="shared" si="5"/>
        <v>4.7</v>
      </c>
      <c r="X14" t="s">
        <v>80</v>
      </c>
    </row>
    <row r="15" spans="1:29" x14ac:dyDescent="0.35">
      <c r="A15" s="1" t="s">
        <v>12</v>
      </c>
      <c r="B15" s="3">
        <v>3.6799999999999999E-2</v>
      </c>
      <c r="C15" s="4">
        <v>-3.2296399999999998</v>
      </c>
      <c r="D15" s="4">
        <v>1.1250800000000001</v>
      </c>
      <c r="E15" s="5">
        <v>5</v>
      </c>
      <c r="F15" s="1">
        <f t="shared" si="0"/>
        <v>-1.7890920021358365</v>
      </c>
      <c r="G15" s="1">
        <v>-0.66351948963506835</v>
      </c>
      <c r="H15" s="1">
        <f t="shared" si="1"/>
        <v>-1.7890918289100621</v>
      </c>
      <c r="I15" s="1">
        <f t="shared" si="6"/>
        <v>3.0007168913494467E-14</v>
      </c>
      <c r="J15" s="25"/>
      <c r="O15" s="8">
        <f t="shared" si="2"/>
        <v>-0.66351948963506835</v>
      </c>
      <c r="P15" s="4">
        <f t="shared" si="3"/>
        <v>-3.2296399999999998</v>
      </c>
      <c r="Q15" s="5">
        <f t="shared" si="4"/>
        <v>1.1250800000000001</v>
      </c>
      <c r="R15" s="5">
        <f t="shared" si="5"/>
        <v>5</v>
      </c>
      <c r="X15" s="37"/>
      <c r="Y15" s="37" t="s">
        <v>85</v>
      </c>
      <c r="Z15" s="37" t="s">
        <v>86</v>
      </c>
      <c r="AA15" s="37" t="s">
        <v>87</v>
      </c>
      <c r="AB15" s="37" t="s">
        <v>88</v>
      </c>
      <c r="AC15" s="37" t="s">
        <v>89</v>
      </c>
    </row>
    <row r="16" spans="1:29" x14ac:dyDescent="0.35">
      <c r="A16" s="1" t="s">
        <v>13</v>
      </c>
      <c r="B16" s="3">
        <v>4.7100000000000003E-2</v>
      </c>
      <c r="C16" s="4">
        <v>-3.13551</v>
      </c>
      <c r="D16" s="4">
        <v>1.0363899999999999</v>
      </c>
      <c r="E16" s="5">
        <v>5.0999999999999996</v>
      </c>
      <c r="F16" s="1">
        <f t="shared" si="0"/>
        <v>-1.6736469781064249</v>
      </c>
      <c r="G16" s="1">
        <v>-1.0909142219729373</v>
      </c>
      <c r="H16" s="1">
        <f t="shared" si="1"/>
        <v>-1.6736466860948473</v>
      </c>
      <c r="I16" s="1">
        <f t="shared" si="6"/>
        <v>8.5270761443722402E-14</v>
      </c>
      <c r="J16" s="25"/>
      <c r="O16" s="8">
        <f t="shared" si="2"/>
        <v>-1.0909142219729373</v>
      </c>
      <c r="P16" s="4">
        <f t="shared" si="3"/>
        <v>-3.13551</v>
      </c>
      <c r="Q16" s="5">
        <f t="shared" si="4"/>
        <v>1.0363899999999999</v>
      </c>
      <c r="R16" s="5">
        <f t="shared" si="5"/>
        <v>5.0999999999999996</v>
      </c>
      <c r="X16" t="s">
        <v>81</v>
      </c>
      <c r="Y16">
        <v>3</v>
      </c>
      <c r="Z16">
        <v>48.138488142360401</v>
      </c>
      <c r="AA16">
        <v>16.046162714120133</v>
      </c>
      <c r="AB16">
        <v>33.085031570674346</v>
      </c>
      <c r="AC16">
        <v>4.9228546969599506E-13</v>
      </c>
    </row>
    <row r="17" spans="1:34" x14ac:dyDescent="0.35">
      <c r="A17" s="1" t="s">
        <v>14</v>
      </c>
      <c r="B17" s="3">
        <v>5.3200000000000004E-2</v>
      </c>
      <c r="C17" s="4">
        <v>-0.81357000000000002</v>
      </c>
      <c r="D17" s="4">
        <v>-5.79E-2</v>
      </c>
      <c r="E17" s="5">
        <v>5.6</v>
      </c>
      <c r="F17" s="1">
        <f t="shared" si="0"/>
        <v>-1.6145877500323236</v>
      </c>
      <c r="G17" s="1">
        <v>-1.309560324253858</v>
      </c>
      <c r="H17" s="1">
        <f t="shared" si="1"/>
        <v>-1.6145873936095656</v>
      </c>
      <c r="I17" s="1">
        <f t="shared" si="6"/>
        <v>1.2703718240209793E-13</v>
      </c>
      <c r="J17" s="25"/>
      <c r="O17" s="8">
        <f t="shared" si="2"/>
        <v>-1.309560324253858</v>
      </c>
      <c r="P17" s="4">
        <f t="shared" si="3"/>
        <v>-0.81357000000000002</v>
      </c>
      <c r="Q17" s="5">
        <f t="shared" si="4"/>
        <v>-5.79E-2</v>
      </c>
      <c r="R17" s="5">
        <f t="shared" si="5"/>
        <v>5.6</v>
      </c>
      <c r="V17" s="18"/>
      <c r="W17" s="18"/>
      <c r="X17" t="s">
        <v>82</v>
      </c>
      <c r="Y17">
        <v>64</v>
      </c>
      <c r="Z17">
        <v>31.039849894353811</v>
      </c>
      <c r="AA17">
        <v>0.48499765459927829</v>
      </c>
    </row>
    <row r="18" spans="1:34" ht="15" thickBot="1" x14ac:dyDescent="0.4">
      <c r="A18" s="1" t="s">
        <v>15</v>
      </c>
      <c r="B18" s="3">
        <v>6.0400000000000002E-2</v>
      </c>
      <c r="C18" s="4">
        <v>-2.77658</v>
      </c>
      <c r="D18" s="4">
        <v>1.08226</v>
      </c>
      <c r="E18" s="5">
        <v>6.1</v>
      </c>
      <c r="F18" s="1">
        <f t="shared" si="0"/>
        <v>-1.5514244484671307</v>
      </c>
      <c r="G18" s="1">
        <v>-1.5434002913646347</v>
      </c>
      <c r="H18" s="1">
        <f t="shared" si="1"/>
        <v>-1.5514240311335215</v>
      </c>
      <c r="I18" s="1">
        <f t="shared" si="6"/>
        <v>1.7416734138971129E-13</v>
      </c>
      <c r="J18" s="25"/>
      <c r="O18" s="8">
        <f t="shared" si="2"/>
        <v>-1.5434002913646347</v>
      </c>
      <c r="P18" s="4">
        <f t="shared" si="3"/>
        <v>-2.77658</v>
      </c>
      <c r="Q18" s="5">
        <f t="shared" si="4"/>
        <v>1.08226</v>
      </c>
      <c r="R18" s="5">
        <f t="shared" si="5"/>
        <v>6.1</v>
      </c>
      <c r="X18" s="36" t="s">
        <v>83</v>
      </c>
      <c r="Y18" s="36">
        <v>67</v>
      </c>
      <c r="Z18" s="36">
        <v>79.178338036714209</v>
      </c>
      <c r="AA18" s="36"/>
      <c r="AB18" s="36"/>
      <c r="AC18" s="36"/>
    </row>
    <row r="19" spans="1:34" ht="15" thickBot="1" x14ac:dyDescent="0.4">
      <c r="A19" s="1" t="s">
        <v>16</v>
      </c>
      <c r="B19" s="3">
        <v>6.6500000000000004E-2</v>
      </c>
      <c r="C19" s="4">
        <v>-5.7858599999999996</v>
      </c>
      <c r="D19" s="4">
        <v>0.22398999999999999</v>
      </c>
      <c r="E19" s="5">
        <v>7.3</v>
      </c>
      <c r="F19" s="1">
        <f t="shared" si="0"/>
        <v>-1.5023761199558539</v>
      </c>
      <c r="G19" s="1">
        <v>-1.7249845284189007</v>
      </c>
      <c r="H19" s="1">
        <f t="shared" si="1"/>
        <v>-1.5023756536183077</v>
      </c>
      <c r="I19" s="1">
        <f t="shared" si="6"/>
        <v>2.1747070693470432E-13</v>
      </c>
      <c r="J19" s="25"/>
      <c r="O19" s="8">
        <f t="shared" si="2"/>
        <v>-1.7249845284189007</v>
      </c>
      <c r="P19" s="4">
        <f t="shared" si="3"/>
        <v>-5.7858599999999996</v>
      </c>
      <c r="Q19" s="5">
        <f t="shared" si="4"/>
        <v>0.22398999999999999</v>
      </c>
      <c r="R19" s="5">
        <f t="shared" si="5"/>
        <v>7.3</v>
      </c>
    </row>
    <row r="20" spans="1:34" x14ac:dyDescent="0.35">
      <c r="A20" s="1" t="s">
        <v>17</v>
      </c>
      <c r="B20" s="3">
        <v>7.3899999999999993E-2</v>
      </c>
      <c r="C20" s="4">
        <v>-3.95296</v>
      </c>
      <c r="D20" s="4">
        <v>-1.95174</v>
      </c>
      <c r="E20" s="5">
        <v>8.6999999999999993</v>
      </c>
      <c r="F20" s="1">
        <f t="shared" si="0"/>
        <v>-1.4473461488973718</v>
      </c>
      <c r="G20" s="1">
        <v>-1.9287136995094762</v>
      </c>
      <c r="H20" s="1">
        <f t="shared" si="1"/>
        <v>-1.4473456275730079</v>
      </c>
      <c r="I20" s="1">
        <f t="shared" si="6"/>
        <v>2.7177909239592463E-13</v>
      </c>
      <c r="J20" s="25"/>
      <c r="O20" s="8">
        <f t="shared" si="2"/>
        <v>-1.9287136995094762</v>
      </c>
      <c r="P20" s="4">
        <f t="shared" si="3"/>
        <v>-3.95296</v>
      </c>
      <c r="Q20" s="5">
        <f t="shared" si="4"/>
        <v>-1.95174</v>
      </c>
      <c r="R20" s="5">
        <f t="shared" si="5"/>
        <v>8.6999999999999993</v>
      </c>
      <c r="X20" s="37"/>
      <c r="Y20" s="37" t="s">
        <v>90</v>
      </c>
      <c r="Z20" s="37" t="s">
        <v>78</v>
      </c>
      <c r="AA20" s="37" t="s">
        <v>91</v>
      </c>
      <c r="AB20" s="37" t="s">
        <v>92</v>
      </c>
      <c r="AC20" s="37" t="s">
        <v>93</v>
      </c>
      <c r="AD20" s="37" t="s">
        <v>94</v>
      </c>
      <c r="AE20" s="37" t="s">
        <v>95</v>
      </c>
      <c r="AF20" s="37" t="s">
        <v>96</v>
      </c>
    </row>
    <row r="21" spans="1:34" x14ac:dyDescent="0.35">
      <c r="A21" s="1" t="s">
        <v>18</v>
      </c>
      <c r="B21" s="3">
        <v>8.2599999999999993E-2</v>
      </c>
      <c r="C21" s="4">
        <v>2.2400600000000002</v>
      </c>
      <c r="D21" s="4">
        <v>-1.2137500000000001</v>
      </c>
      <c r="E21" s="5">
        <v>9.5</v>
      </c>
      <c r="F21" s="1">
        <f t="shared" si="0"/>
        <v>-1.3877932855689641</v>
      </c>
      <c r="G21" s="1">
        <v>-2.1491872869509634</v>
      </c>
      <c r="H21" s="1">
        <f t="shared" si="1"/>
        <v>-1.3877927064362914</v>
      </c>
      <c r="I21" s="1">
        <f t="shared" si="6"/>
        <v>3.3539465259641251E-13</v>
      </c>
      <c r="J21" s="25"/>
      <c r="O21" s="8">
        <f t="shared" si="2"/>
        <v>-2.1491872869509634</v>
      </c>
      <c r="P21" s="4">
        <f t="shared" si="3"/>
        <v>2.2400600000000002</v>
      </c>
      <c r="Q21" s="5">
        <f t="shared" si="4"/>
        <v>-1.2137500000000001</v>
      </c>
      <c r="R21" s="5">
        <f t="shared" si="5"/>
        <v>9.5</v>
      </c>
      <c r="X21" t="s">
        <v>84</v>
      </c>
      <c r="Y21">
        <v>1.8077629286867714</v>
      </c>
      <c r="Z21">
        <v>0.30232194628637099</v>
      </c>
      <c r="AA21">
        <v>5.9795954309396668</v>
      </c>
      <c r="AB21">
        <v>1.098073896454377E-7</v>
      </c>
      <c r="AC21">
        <v>1.2038054114394465</v>
      </c>
      <c r="AD21">
        <v>2.4117204459340962</v>
      </c>
      <c r="AE21">
        <v>1.2038054114394465</v>
      </c>
      <c r="AF21">
        <v>2.4117204459340962</v>
      </c>
    </row>
    <row r="22" spans="1:34" x14ac:dyDescent="0.35">
      <c r="A22" s="1" t="s">
        <v>19</v>
      </c>
      <c r="B22" s="3">
        <v>8.3499999999999991E-2</v>
      </c>
      <c r="C22" s="4">
        <v>-0.11215</v>
      </c>
      <c r="D22" s="4">
        <v>-0.34416000000000002</v>
      </c>
      <c r="E22" s="5">
        <v>9.8000000000000007</v>
      </c>
      <c r="F22" s="1">
        <f t="shared" si="0"/>
        <v>-1.3819078412718104</v>
      </c>
      <c r="G22" s="1">
        <v>-2.1709760821940582</v>
      </c>
      <c r="H22" s="1">
        <f t="shared" si="1"/>
        <v>-1.3819072558486085</v>
      </c>
      <c r="I22" s="1">
        <f t="shared" si="6"/>
        <v>3.4272032534081731E-13</v>
      </c>
      <c r="J22" s="25"/>
      <c r="O22" s="8">
        <f t="shared" si="2"/>
        <v>-2.1709760821940582</v>
      </c>
      <c r="P22" s="4">
        <f t="shared" si="3"/>
        <v>-0.11215</v>
      </c>
      <c r="Q22" s="5">
        <f t="shared" si="4"/>
        <v>-0.34416000000000002</v>
      </c>
      <c r="R22" s="5">
        <f t="shared" si="5"/>
        <v>9.8000000000000007</v>
      </c>
      <c r="V22" s="18"/>
      <c r="W22" s="18"/>
      <c r="X22" t="s">
        <v>70</v>
      </c>
      <c r="Y22" s="39">
        <v>0.11972657439659876</v>
      </c>
      <c r="Z22">
        <v>3.5689929061219844E-2</v>
      </c>
      <c r="AA22">
        <v>3.3546318960519286</v>
      </c>
      <c r="AB22">
        <v>1.3396015914613191E-3</v>
      </c>
      <c r="AC22">
        <v>4.8427744750504959E-2</v>
      </c>
      <c r="AD22">
        <v>0.19102540404269255</v>
      </c>
      <c r="AE22">
        <v>4.8427744750504959E-2</v>
      </c>
      <c r="AF22">
        <v>0.19102540404269255</v>
      </c>
    </row>
    <row r="23" spans="1:34" x14ac:dyDescent="0.35">
      <c r="A23" s="1" t="s">
        <v>20</v>
      </c>
      <c r="B23" s="3">
        <v>8.3000000000000004E-2</v>
      </c>
      <c r="C23" s="4">
        <v>-1.9795799999999999</v>
      </c>
      <c r="D23" s="4">
        <v>0.47038000000000002</v>
      </c>
      <c r="E23" s="5">
        <v>9.9</v>
      </c>
      <c r="F23" s="1">
        <f t="shared" si="0"/>
        <v>-1.3851716082134362</v>
      </c>
      <c r="G23" s="1">
        <v>-2.1588931202779769</v>
      </c>
      <c r="H23" s="1">
        <f t="shared" si="1"/>
        <v>-1.3851710285591483</v>
      </c>
      <c r="I23" s="1">
        <f t="shared" si="6"/>
        <v>3.3599909348339158E-13</v>
      </c>
      <c r="J23" s="25"/>
      <c r="O23" s="8">
        <f t="shared" si="2"/>
        <v>-2.1588931202779769</v>
      </c>
      <c r="P23" s="4">
        <f t="shared" si="3"/>
        <v>-1.9795799999999999</v>
      </c>
      <c r="Q23" s="5">
        <f t="shared" si="4"/>
        <v>0.47038000000000002</v>
      </c>
      <c r="R23" s="5">
        <f t="shared" si="5"/>
        <v>9.9</v>
      </c>
      <c r="X23" t="s">
        <v>71</v>
      </c>
      <c r="Y23" s="39">
        <v>3.9778697021691289E-2</v>
      </c>
      <c r="Z23">
        <v>5.2768195946064612E-2</v>
      </c>
      <c r="AA23">
        <v>0.75383848753044091</v>
      </c>
      <c r="AB23">
        <v>0.45371078438953927</v>
      </c>
      <c r="AC23">
        <v>-6.5637892824608787E-2</v>
      </c>
      <c r="AD23">
        <v>0.14519528686799138</v>
      </c>
      <c r="AE23">
        <v>-6.5637892824608787E-2</v>
      </c>
      <c r="AF23">
        <v>0.14519528686799138</v>
      </c>
    </row>
    <row r="24" spans="1:34" ht="15" thickBot="1" x14ac:dyDescent="0.4">
      <c r="A24" s="1" t="s">
        <v>21</v>
      </c>
      <c r="B24" s="3">
        <v>7.6999999999999999E-2</v>
      </c>
      <c r="C24" s="4">
        <v>-2.0931899999999999</v>
      </c>
      <c r="D24" s="4">
        <v>1.4005700000000001</v>
      </c>
      <c r="E24" s="5">
        <v>9.9</v>
      </c>
      <c r="F24" s="1">
        <f t="shared" si="0"/>
        <v>-1.4255440370804517</v>
      </c>
      <c r="G24" s="1">
        <v>-2.0094283749999562</v>
      </c>
      <c r="H24" s="1">
        <f t="shared" si="1"/>
        <v>-1.4255434935403501</v>
      </c>
      <c r="I24" s="1">
        <f t="shared" si="6"/>
        <v>2.9543584204089791E-13</v>
      </c>
      <c r="J24" s="25"/>
      <c r="O24" s="8">
        <f t="shared" si="2"/>
        <v>-2.0094283749999562</v>
      </c>
      <c r="P24" s="4">
        <f t="shared" si="3"/>
        <v>-2.0931899999999999</v>
      </c>
      <c r="Q24" s="5">
        <f t="shared" si="4"/>
        <v>1.4005700000000001</v>
      </c>
      <c r="R24" s="5">
        <f t="shared" si="5"/>
        <v>9.9</v>
      </c>
      <c r="X24" s="36" t="s">
        <v>72</v>
      </c>
      <c r="Y24" s="40">
        <v>-0.35825227186953695</v>
      </c>
      <c r="Z24" s="36">
        <v>4.3831815537035163E-2</v>
      </c>
      <c r="AA24" s="36">
        <v>-8.1733386463728852</v>
      </c>
      <c r="AB24" s="36">
        <v>1.5955489380526947E-11</v>
      </c>
      <c r="AC24" s="36">
        <v>-0.44581638957045522</v>
      </c>
      <c r="AD24" s="36">
        <v>-0.27068815416861869</v>
      </c>
      <c r="AE24" s="36">
        <v>-0.44581638957045522</v>
      </c>
      <c r="AF24" s="36">
        <v>-0.27068815416861869</v>
      </c>
    </row>
    <row r="25" spans="1:34" x14ac:dyDescent="0.35">
      <c r="A25" s="1" t="s">
        <v>22</v>
      </c>
      <c r="B25" s="3">
        <v>6.9599999999999995E-2</v>
      </c>
      <c r="C25" s="4">
        <v>2.8601100000000002</v>
      </c>
      <c r="D25" s="4">
        <v>0.77373000000000003</v>
      </c>
      <c r="E25" s="5">
        <v>9.4</v>
      </c>
      <c r="F25" s="1">
        <f t="shared" si="0"/>
        <v>-1.4787767190984888</v>
      </c>
      <c r="G25" s="1">
        <v>-1.8123530425329013</v>
      </c>
      <c r="H25" s="1">
        <f t="shared" si="1"/>
        <v>-1.4787762270781828</v>
      </c>
      <c r="I25" s="1">
        <f t="shared" si="6"/>
        <v>2.4208398156870449E-13</v>
      </c>
      <c r="J25" s="25"/>
      <c r="O25" s="8">
        <f t="shared" si="2"/>
        <v>-1.8123530425329013</v>
      </c>
      <c r="P25" s="4">
        <f t="shared" si="3"/>
        <v>2.8601100000000002</v>
      </c>
      <c r="Q25" s="5">
        <f t="shared" si="4"/>
        <v>0.77373000000000003</v>
      </c>
      <c r="R25" s="5">
        <f t="shared" si="5"/>
        <v>9.4</v>
      </c>
    </row>
    <row r="26" spans="1:34" x14ac:dyDescent="0.35">
      <c r="A26" s="1" t="s">
        <v>23</v>
      </c>
      <c r="B26" s="3">
        <v>6.4899999999999999E-2</v>
      </c>
      <c r="C26" s="4">
        <v>-2.0954199999999998</v>
      </c>
      <c r="D26" s="4">
        <v>1.4601299999999999</v>
      </c>
      <c r="E26" s="5">
        <v>9.5</v>
      </c>
      <c r="F26" s="1">
        <f t="shared" si="0"/>
        <v>-1.5148910392272883</v>
      </c>
      <c r="G26" s="1">
        <v>-1.6786524245353052</v>
      </c>
      <c r="H26" s="1">
        <f t="shared" si="1"/>
        <v>-1.5148905864077522</v>
      </c>
      <c r="I26" s="1">
        <f t="shared" si="6"/>
        <v>2.0504553226456074E-13</v>
      </c>
      <c r="J26" s="25"/>
      <c r="O26" s="8">
        <f t="shared" si="2"/>
        <v>-1.6786524245353052</v>
      </c>
      <c r="P26" s="4">
        <f t="shared" si="3"/>
        <v>-2.0954199999999998</v>
      </c>
      <c r="Q26" s="5">
        <f t="shared" si="4"/>
        <v>1.4601299999999999</v>
      </c>
      <c r="R26" s="5">
        <f t="shared" si="5"/>
        <v>9.5</v>
      </c>
    </row>
    <row r="27" spans="1:34" x14ac:dyDescent="0.35">
      <c r="A27" s="1" t="s">
        <v>24</v>
      </c>
      <c r="B27" s="3">
        <v>5.6399999999999999E-2</v>
      </c>
      <c r="C27" s="4">
        <v>-2.75434</v>
      </c>
      <c r="D27" s="4">
        <v>1.07752</v>
      </c>
      <c r="E27" s="5">
        <v>9.3000000000000007</v>
      </c>
      <c r="F27" s="1">
        <f t="shared" si="0"/>
        <v>-1.5857325150106096</v>
      </c>
      <c r="G27" s="1">
        <v>-1.4163867002004347</v>
      </c>
      <c r="H27" s="1">
        <f t="shared" si="1"/>
        <v>-1.5857321333677641</v>
      </c>
      <c r="I27" s="1">
        <f t="shared" si="6"/>
        <v>1.4565126155821379E-13</v>
      </c>
      <c r="J27" s="25"/>
      <c r="O27" s="8">
        <f t="shared" si="2"/>
        <v>-1.4163867002004347</v>
      </c>
      <c r="P27" s="4">
        <f t="shared" si="3"/>
        <v>-2.75434</v>
      </c>
      <c r="Q27" s="5">
        <f t="shared" si="4"/>
        <v>1.07752</v>
      </c>
      <c r="R27" s="5">
        <f t="shared" si="5"/>
        <v>9.3000000000000007</v>
      </c>
    </row>
    <row r="28" spans="1:34" x14ac:dyDescent="0.35">
      <c r="A28" s="1" t="s">
        <v>25</v>
      </c>
      <c r="B28" s="3">
        <v>5.2900000000000003E-2</v>
      </c>
      <c r="C28" s="4">
        <v>-2.0224000000000002</v>
      </c>
      <c r="D28" s="4">
        <v>1.1086499999999999</v>
      </c>
      <c r="E28" s="5">
        <v>9</v>
      </c>
      <c r="F28" s="1">
        <f t="shared" si="0"/>
        <v>-1.6173627568992357</v>
      </c>
      <c r="G28" s="1">
        <v>-1.2992868204918715</v>
      </c>
      <c r="H28" s="1">
        <f t="shared" si="1"/>
        <v>-1.6173624070088362</v>
      </c>
      <c r="I28" s="1">
        <f t="shared" si="6"/>
        <v>1.2242329169199211E-13</v>
      </c>
      <c r="J28" s="25"/>
      <c r="O28" s="8">
        <f t="shared" si="2"/>
        <v>-1.2992868204918715</v>
      </c>
      <c r="P28" s="4">
        <f t="shared" si="3"/>
        <v>-2.0224000000000002</v>
      </c>
      <c r="Q28" s="5">
        <f t="shared" si="4"/>
        <v>1.1086499999999999</v>
      </c>
      <c r="R28" s="5">
        <f t="shared" si="5"/>
        <v>9</v>
      </c>
      <c r="AF28" s="33" t="s">
        <v>121</v>
      </c>
      <c r="AG28" s="34">
        <f>AVERAGE(AE32:AE99)</f>
        <v>2.041461683979387E-2</v>
      </c>
    </row>
    <row r="29" spans="1:34" x14ac:dyDescent="0.35">
      <c r="A29" s="1" t="s">
        <v>26</v>
      </c>
      <c r="B29" s="3">
        <v>4.8300000000000003E-2</v>
      </c>
      <c r="C29" s="4">
        <v>3.0214599999999998</v>
      </c>
      <c r="D29" s="4">
        <v>0.27417000000000002</v>
      </c>
      <c r="E29" s="5">
        <v>9.1</v>
      </c>
      <c r="F29" s="1">
        <f t="shared" si="0"/>
        <v>-1.661565129229557</v>
      </c>
      <c r="G29" s="1">
        <v>-1.1356430381454496</v>
      </c>
      <c r="H29" s="1">
        <f t="shared" si="1"/>
        <v>-1.6615648231698055</v>
      </c>
      <c r="I29" s="1">
        <f t="shared" si="6"/>
        <v>9.3672571514269119E-14</v>
      </c>
      <c r="J29" s="25"/>
      <c r="O29" s="8">
        <f t="shared" si="2"/>
        <v>-1.1356430381454496</v>
      </c>
      <c r="P29" s="4">
        <f t="shared" si="3"/>
        <v>3.0214599999999998</v>
      </c>
      <c r="Q29" s="5">
        <f t="shared" si="4"/>
        <v>0.27417000000000002</v>
      </c>
      <c r="R29" s="5">
        <f t="shared" si="5"/>
        <v>9.1</v>
      </c>
      <c r="Y29" s="26"/>
      <c r="Z29" s="26"/>
      <c r="AA29" s="26"/>
      <c r="AB29" s="29" t="s">
        <v>118</v>
      </c>
      <c r="AC29" s="26"/>
      <c r="AD29" s="26"/>
      <c r="AE29" s="26"/>
      <c r="AF29" s="33" t="s">
        <v>122</v>
      </c>
      <c r="AG29" s="35">
        <f>AVERAGE(AD32:AD99)</f>
        <v>2.0064191838968674E-2</v>
      </c>
      <c r="AH29" s="1">
        <f>(AG29-AG28)^2</f>
        <v>1.2279768120333827E-7</v>
      </c>
    </row>
    <row r="30" spans="1:34" x14ac:dyDescent="0.35">
      <c r="A30" s="1" t="s">
        <v>27</v>
      </c>
      <c r="B30" s="3">
        <v>4.6399999999999997E-2</v>
      </c>
      <c r="C30" s="4">
        <v>-1.2533099999999999</v>
      </c>
      <c r="D30" s="4">
        <v>1.34249</v>
      </c>
      <c r="E30" s="5">
        <v>9</v>
      </c>
      <c r="F30" s="1">
        <f t="shared" si="0"/>
        <v>-1.6808091026708036</v>
      </c>
      <c r="G30" s="1">
        <v>-1.0643989730258472</v>
      </c>
      <c r="H30" s="1">
        <f t="shared" si="1"/>
        <v>-1.6808088162519828</v>
      </c>
      <c r="I30" s="1">
        <f t="shared" si="6"/>
        <v>8.2035740955934823E-14</v>
      </c>
      <c r="J30" s="25"/>
      <c r="O30" s="8">
        <f t="shared" si="2"/>
        <v>-1.0643989730258472</v>
      </c>
      <c r="P30" s="4">
        <f t="shared" si="3"/>
        <v>-1.2533099999999999</v>
      </c>
      <c r="Q30" s="5">
        <f t="shared" si="4"/>
        <v>1.34249</v>
      </c>
      <c r="R30" s="5">
        <f t="shared" si="5"/>
        <v>9</v>
      </c>
    </row>
    <row r="31" spans="1:34" x14ac:dyDescent="0.35">
      <c r="A31" s="1" t="s">
        <v>28</v>
      </c>
      <c r="B31" s="3">
        <v>4.58E-2</v>
      </c>
      <c r="C31" s="4">
        <v>-3.5693600000000001</v>
      </c>
      <c r="D31" s="4">
        <v>0.57940000000000003</v>
      </c>
      <c r="E31" s="5">
        <v>8.5</v>
      </c>
      <c r="F31" s="1">
        <f t="shared" si="0"/>
        <v>-1.6870174324799259</v>
      </c>
      <c r="G31" s="1">
        <v>-1.041414817113415</v>
      </c>
      <c r="H31" s="1">
        <f t="shared" si="1"/>
        <v>-1.6870171500498365</v>
      </c>
      <c r="I31" s="1">
        <f t="shared" si="6"/>
        <v>7.9766755350823807E-14</v>
      </c>
      <c r="J31" s="25"/>
      <c r="O31" s="8">
        <f t="shared" si="2"/>
        <v>-1.041414817113415</v>
      </c>
      <c r="P31" s="4">
        <f t="shared" si="3"/>
        <v>-3.5693600000000001</v>
      </c>
      <c r="Q31" s="5">
        <f t="shared" si="4"/>
        <v>0.57940000000000003</v>
      </c>
      <c r="R31" s="5">
        <f t="shared" si="5"/>
        <v>8.5</v>
      </c>
      <c r="Y31" s="9" t="s">
        <v>117</v>
      </c>
      <c r="Z31" s="31" t="s">
        <v>119</v>
      </c>
      <c r="AA31" s="31" t="s">
        <v>72</v>
      </c>
      <c r="AB31" s="31" t="s">
        <v>70</v>
      </c>
      <c r="AC31" s="31" t="s">
        <v>97</v>
      </c>
      <c r="AD31" s="31" t="s">
        <v>120</v>
      </c>
      <c r="AE31" s="31" t="s">
        <v>121</v>
      </c>
    </row>
    <row r="32" spans="1:34" x14ac:dyDescent="0.35">
      <c r="A32" s="1" t="s">
        <v>29</v>
      </c>
      <c r="B32" s="3">
        <v>4.41E-2</v>
      </c>
      <c r="C32" s="4">
        <v>0.51568000000000003</v>
      </c>
      <c r="D32" s="4">
        <v>1.2435</v>
      </c>
      <c r="E32" s="5">
        <v>8.1999999999999993</v>
      </c>
      <c r="F32" s="1">
        <f t="shared" si="0"/>
        <v>-1.7049701055040087</v>
      </c>
      <c r="G32" s="1">
        <v>-0.97495087666218894</v>
      </c>
      <c r="H32" s="1">
        <f t="shared" si="1"/>
        <v>-1.7049699663035192</v>
      </c>
      <c r="I32" s="1">
        <f t="shared" si="6"/>
        <v>1.937677629917083E-14</v>
      </c>
      <c r="J32" s="25"/>
      <c r="O32" s="8">
        <f t="shared" si="2"/>
        <v>-0.97495087666218894</v>
      </c>
      <c r="P32" s="4">
        <f t="shared" si="3"/>
        <v>0.51568000000000003</v>
      </c>
      <c r="Q32" s="5">
        <f t="shared" si="4"/>
        <v>1.2435</v>
      </c>
      <c r="R32" s="5">
        <f t="shared" si="5"/>
        <v>8.1999999999999993</v>
      </c>
      <c r="Y32" s="1">
        <v>1</v>
      </c>
      <c r="Z32" s="30">
        <v>2</v>
      </c>
      <c r="AA32" s="30">
        <v>6</v>
      </c>
      <c r="AB32" s="30">
        <v>4</v>
      </c>
      <c r="AC32" s="1">
        <f>$Y$21+AB32*$Y$22+Z32*$Y$23+AA32*$Y$24</f>
        <v>0.21671298909932712</v>
      </c>
      <c r="AD32" s="32">
        <f t="shared" ref="AD32:AD63" si="7">_xlfn.NORM.S.DIST(($L$3-SQRT($L$2)*AC32)/SQRT(1-$L$2),TRUE)</f>
        <v>2.1338641342058772E-2</v>
      </c>
      <c r="AE32" s="3" t="s">
        <v>127</v>
      </c>
    </row>
    <row r="33" spans="1:31" x14ac:dyDescent="0.35">
      <c r="A33" s="1" t="s">
        <v>30</v>
      </c>
      <c r="B33" s="3">
        <v>4.1799999999999997E-2</v>
      </c>
      <c r="C33" s="4">
        <v>5.3783700000000003</v>
      </c>
      <c r="D33" s="4">
        <v>1.43001</v>
      </c>
      <c r="E33" s="5">
        <v>8.1999999999999993</v>
      </c>
      <c r="F33" s="1">
        <f t="shared" si="0"/>
        <v>-1.7301694770882556</v>
      </c>
      <c r="G33" s="1">
        <v>-0.88165948931519311</v>
      </c>
      <c r="H33" s="1">
        <f t="shared" si="1"/>
        <v>-1.7301692416356951</v>
      </c>
      <c r="I33" s="1">
        <f t="shared" si="6"/>
        <v>5.5437908274109361E-14</v>
      </c>
      <c r="J33" s="25"/>
      <c r="O33" s="8">
        <f t="shared" si="2"/>
        <v>-0.88165948931519311</v>
      </c>
      <c r="P33" s="4">
        <f t="shared" si="3"/>
        <v>5.3783700000000003</v>
      </c>
      <c r="Q33" s="5">
        <f t="shared" si="4"/>
        <v>1.43001</v>
      </c>
      <c r="R33" s="5">
        <f t="shared" si="5"/>
        <v>8.1999999999999993</v>
      </c>
      <c r="Y33" s="20">
        <v>2</v>
      </c>
      <c r="Z33" s="21">
        <v>1.9894736842105261</v>
      </c>
      <c r="AA33" s="21">
        <v>5.9736842105263159</v>
      </c>
      <c r="AB33" s="21">
        <v>3.9736842105263159</v>
      </c>
      <c r="AC33" s="1">
        <f t="shared" ref="AC33:AC96" si="8">$Y$21+AB33*$Y$22+Z33*$Y$23+AA33*$Y$24</f>
        <v>0.22257125801154487</v>
      </c>
      <c r="AD33" s="3">
        <f t="shared" si="7"/>
        <v>2.1257832621669869E-2</v>
      </c>
      <c r="AE33" s="3">
        <v>1.1989527698884212E-2</v>
      </c>
    </row>
    <row r="34" spans="1:31" x14ac:dyDescent="0.35">
      <c r="A34" s="1" t="s">
        <v>31</v>
      </c>
      <c r="B34" s="3">
        <v>3.8800000000000001E-2</v>
      </c>
      <c r="C34" s="4">
        <v>0.83050000000000002</v>
      </c>
      <c r="D34" s="4">
        <v>0.86073999999999995</v>
      </c>
      <c r="E34" s="5">
        <v>7.8</v>
      </c>
      <c r="F34" s="1">
        <f t="shared" si="0"/>
        <v>-1.764784444277639</v>
      </c>
      <c r="G34" s="1">
        <v>-0.75350972380832804</v>
      </c>
      <c r="H34" s="1">
        <f t="shared" si="1"/>
        <v>-1.7647842400465339</v>
      </c>
      <c r="I34" s="1">
        <f t="shared" si="6"/>
        <v>4.1710344306164403E-14</v>
      </c>
      <c r="J34" s="25"/>
      <c r="O34" s="8">
        <f t="shared" si="2"/>
        <v>-0.75350972380832804</v>
      </c>
      <c r="P34" s="4">
        <f t="shared" si="3"/>
        <v>0.83050000000000002</v>
      </c>
      <c r="Q34" s="5">
        <f t="shared" si="4"/>
        <v>0.86073999999999995</v>
      </c>
      <c r="R34" s="5">
        <f t="shared" si="5"/>
        <v>7.8</v>
      </c>
      <c r="Y34" s="1">
        <v>3</v>
      </c>
      <c r="Z34" s="21">
        <v>1.978947368421053</v>
      </c>
      <c r="AA34" s="21">
        <v>5.9473684210526319</v>
      </c>
      <c r="AB34" s="21">
        <v>3.947368421052631</v>
      </c>
      <c r="AC34" s="1">
        <f t="shared" si="8"/>
        <v>0.22842952692376173</v>
      </c>
      <c r="AD34" s="3">
        <f t="shared" si="7"/>
        <v>2.1177282864842009E-2</v>
      </c>
      <c r="AE34" s="3">
        <v>1.1533791383535743E-2</v>
      </c>
    </row>
    <row r="35" spans="1:31" x14ac:dyDescent="0.35">
      <c r="A35" s="1" t="s">
        <v>32</v>
      </c>
      <c r="B35" s="3">
        <v>3.4799999999999998E-2</v>
      </c>
      <c r="C35" s="4">
        <v>-0.34289999999999998</v>
      </c>
      <c r="D35" s="4">
        <v>0.69367999999999996</v>
      </c>
      <c r="E35" s="5">
        <v>7.9</v>
      </c>
      <c r="F35" s="1">
        <f t="shared" si="0"/>
        <v>-1.8145050888116845</v>
      </c>
      <c r="G35" s="1">
        <v>-0.56943645501776297</v>
      </c>
      <c r="H35" s="1">
        <f t="shared" si="1"/>
        <v>-1.8145049389605092</v>
      </c>
      <c r="I35" s="1">
        <f t="shared" si="6"/>
        <v>2.2455374722679507E-14</v>
      </c>
      <c r="J35" s="25"/>
      <c r="O35" s="8">
        <f t="shared" si="2"/>
        <v>-0.56943645501776297</v>
      </c>
      <c r="P35" s="4">
        <f t="shared" si="3"/>
        <v>-0.34289999999999998</v>
      </c>
      <c r="Q35" s="5">
        <f t="shared" si="4"/>
        <v>0.69367999999999996</v>
      </c>
      <c r="R35" s="5">
        <f t="shared" si="5"/>
        <v>7.9</v>
      </c>
      <c r="Y35" s="20">
        <v>4</v>
      </c>
      <c r="Z35" s="21">
        <v>1.9684210526315791</v>
      </c>
      <c r="AA35" s="21">
        <v>5.9210526315789478</v>
      </c>
      <c r="AB35" s="21">
        <v>3.9210526315789469</v>
      </c>
      <c r="AC35" s="1">
        <f t="shared" si="8"/>
        <v>0.23428779583597947</v>
      </c>
      <c r="AD35" s="3">
        <f t="shared" si="7"/>
        <v>2.1096991442736603E-2</v>
      </c>
      <c r="AE35" s="3">
        <v>1.1226543909937775E-2</v>
      </c>
    </row>
    <row r="36" spans="1:31" x14ac:dyDescent="0.35">
      <c r="A36" s="1" t="s">
        <v>33</v>
      </c>
      <c r="B36" s="3">
        <v>3.1800000000000002E-2</v>
      </c>
      <c r="C36" s="4">
        <v>2.8479100000000002</v>
      </c>
      <c r="D36" s="4">
        <v>0.61814000000000002</v>
      </c>
      <c r="E36" s="5">
        <v>7.5</v>
      </c>
      <c r="F36" s="1">
        <f t="shared" si="0"/>
        <v>-1.8549735762867554</v>
      </c>
      <c r="G36" s="1">
        <v>-0.4196160885166364</v>
      </c>
      <c r="H36" s="1">
        <f t="shared" si="1"/>
        <v>-1.8549734620813729</v>
      </c>
      <c r="I36" s="1">
        <f t="shared" si="6"/>
        <v>1.3042869388385336E-14</v>
      </c>
      <c r="J36" s="25"/>
      <c r="O36" s="8">
        <f t="shared" si="2"/>
        <v>-0.4196160885166364</v>
      </c>
      <c r="P36" s="4">
        <f t="shared" si="3"/>
        <v>2.8479100000000002</v>
      </c>
      <c r="Q36" s="5">
        <f t="shared" si="4"/>
        <v>0.61814000000000002</v>
      </c>
      <c r="R36" s="5">
        <f t="shared" si="5"/>
        <v>7.5</v>
      </c>
      <c r="Y36" s="1">
        <v>5</v>
      </c>
      <c r="Z36" s="21">
        <v>1.9578947368421049</v>
      </c>
      <c r="AA36" s="21">
        <v>5.8947368421052628</v>
      </c>
      <c r="AB36" s="21">
        <v>3.8947368421052628</v>
      </c>
      <c r="AC36" s="1">
        <f t="shared" si="8"/>
        <v>0.24014606474819722</v>
      </c>
      <c r="AD36" s="3">
        <f t="shared" si="7"/>
        <v>2.1016957727240243E-2</v>
      </c>
      <c r="AE36" s="3">
        <v>1.16101748641069E-2</v>
      </c>
    </row>
    <row r="37" spans="1:31" x14ac:dyDescent="0.35">
      <c r="A37" s="1" t="s">
        <v>34</v>
      </c>
      <c r="B37" s="3">
        <v>2.9899999999999999E-2</v>
      </c>
      <c r="C37" s="4">
        <v>5.7219300000000004</v>
      </c>
      <c r="D37" s="4">
        <v>1.3871100000000001</v>
      </c>
      <c r="E37" s="5">
        <v>7.5</v>
      </c>
      <c r="F37" s="1">
        <f t="shared" si="0"/>
        <v>-1.8822653251976995</v>
      </c>
      <c r="G37" s="1">
        <v>-0.31857794004768974</v>
      </c>
      <c r="H37" s="1">
        <f t="shared" si="1"/>
        <v>-1.8822652431849392</v>
      </c>
      <c r="I37" s="1">
        <f t="shared" si="6"/>
        <v>6.7260928619788993E-15</v>
      </c>
      <c r="J37" s="25"/>
      <c r="O37" s="8">
        <f t="shared" si="2"/>
        <v>-0.31857794004768974</v>
      </c>
      <c r="P37" s="4">
        <f t="shared" si="3"/>
        <v>5.7219300000000004</v>
      </c>
      <c r="Q37" s="5">
        <f t="shared" si="4"/>
        <v>1.3871100000000001</v>
      </c>
      <c r="R37" s="5">
        <f t="shared" si="5"/>
        <v>7.5</v>
      </c>
      <c r="Y37" s="20">
        <v>6</v>
      </c>
      <c r="Z37" s="21">
        <v>1.9473684210526321</v>
      </c>
      <c r="AA37" s="21">
        <v>5.8684210526315788</v>
      </c>
      <c r="AB37" s="21">
        <v>3.8684210526315792</v>
      </c>
      <c r="AC37" s="1">
        <f t="shared" si="8"/>
        <v>0.24600433366041408</v>
      </c>
      <c r="AD37" s="3">
        <f t="shared" si="7"/>
        <v>2.0937181090966973E-2</v>
      </c>
      <c r="AE37" s="3">
        <v>1.1533791383535743E-2</v>
      </c>
    </row>
    <row r="38" spans="1:31" x14ac:dyDescent="0.35">
      <c r="A38" s="1" t="s">
        <v>35</v>
      </c>
      <c r="B38" s="3">
        <v>2.7400000000000001E-2</v>
      </c>
      <c r="C38" s="4">
        <v>2.0745</v>
      </c>
      <c r="D38" s="4">
        <v>0.48352000000000001</v>
      </c>
      <c r="E38" s="5">
        <v>7.2</v>
      </c>
      <c r="F38" s="1">
        <f t="shared" si="0"/>
        <v>-1.9204585818296569</v>
      </c>
      <c r="G38" s="1">
        <v>-0.17718082006287189</v>
      </c>
      <c r="H38" s="1">
        <f t="shared" si="1"/>
        <v>-1.9204585326085508</v>
      </c>
      <c r="I38" s="1">
        <f t="shared" si="6"/>
        <v>2.4227172837243687E-15</v>
      </c>
      <c r="J38" s="25"/>
      <c r="O38" s="8">
        <f t="shared" si="2"/>
        <v>-0.17718082006287189</v>
      </c>
      <c r="P38" s="4">
        <f t="shared" si="3"/>
        <v>2.0745</v>
      </c>
      <c r="Q38" s="5">
        <f t="shared" si="4"/>
        <v>0.48352000000000001</v>
      </c>
      <c r="R38" s="5">
        <f t="shared" si="5"/>
        <v>7.2</v>
      </c>
      <c r="Y38" s="1">
        <v>7</v>
      </c>
      <c r="Z38" s="21">
        <v>1.9368421052631579</v>
      </c>
      <c r="AA38" s="21">
        <v>5.8421052631578947</v>
      </c>
      <c r="AB38" s="21">
        <v>3.8421052631578951</v>
      </c>
      <c r="AC38" s="1">
        <f t="shared" si="8"/>
        <v>0.25186260257263182</v>
      </c>
      <c r="AD38" s="3">
        <f t="shared" si="7"/>
        <v>2.0857660907260711E-2</v>
      </c>
      <c r="AE38" s="3">
        <v>1.2661628735010323E-2</v>
      </c>
    </row>
    <row r="39" spans="1:31" x14ac:dyDescent="0.35">
      <c r="A39" s="1" t="s">
        <v>36</v>
      </c>
      <c r="B39" s="3">
        <v>2.5399999999999999E-2</v>
      </c>
      <c r="C39" s="4">
        <v>-0.24238000000000001</v>
      </c>
      <c r="D39" s="4">
        <v>1.3459000000000001</v>
      </c>
      <c r="E39" s="5">
        <v>6.7</v>
      </c>
      <c r="F39" s="1">
        <f t="shared" si="0"/>
        <v>-1.9531653958289477</v>
      </c>
      <c r="G39" s="1">
        <v>-5.609526809352703E-2</v>
      </c>
      <c r="H39" s="1">
        <f t="shared" si="1"/>
        <v>-1.9531653906540298</v>
      </c>
      <c r="I39" s="1">
        <f t="shared" si="6"/>
        <v>2.6779774522292119E-17</v>
      </c>
      <c r="J39" s="25"/>
      <c r="O39" s="8">
        <f t="shared" si="2"/>
        <v>-5.609526809352703E-2</v>
      </c>
      <c r="P39" s="4">
        <f t="shared" si="3"/>
        <v>-0.24238000000000001</v>
      </c>
      <c r="Q39" s="5">
        <f t="shared" si="4"/>
        <v>1.3459000000000001</v>
      </c>
      <c r="R39" s="5">
        <f t="shared" si="5"/>
        <v>6.7</v>
      </c>
      <c r="Y39" s="20">
        <v>8</v>
      </c>
      <c r="Z39" s="21">
        <v>1.926315789473684</v>
      </c>
      <c r="AA39" s="21">
        <v>5.8157894736842106</v>
      </c>
      <c r="AB39" s="21">
        <v>3.8157894736842111</v>
      </c>
      <c r="AC39" s="1">
        <f t="shared" si="8"/>
        <v>0.25772087148484868</v>
      </c>
      <c r="AD39" s="3">
        <f t="shared" si="7"/>
        <v>2.0778396550197625E-2</v>
      </c>
      <c r="AE39" s="3">
        <v>1.424690889111673E-2</v>
      </c>
    </row>
    <row r="40" spans="1:31" x14ac:dyDescent="0.35">
      <c r="A40" s="1" t="s">
        <v>37</v>
      </c>
      <c r="B40" s="3">
        <v>2.3300000000000001E-2</v>
      </c>
      <c r="C40" s="4">
        <v>1.19537</v>
      </c>
      <c r="D40" s="4">
        <v>1.4048799999999999</v>
      </c>
      <c r="E40" s="5">
        <v>6.7</v>
      </c>
      <c r="F40" s="1">
        <f t="shared" si="0"/>
        <v>-1.9899177202420455</v>
      </c>
      <c r="G40" s="1">
        <v>7.9967125439506834E-2</v>
      </c>
      <c r="H40" s="1">
        <f t="shared" si="1"/>
        <v>-1.9899176977479403</v>
      </c>
      <c r="I40" s="1">
        <f t="shared" si="6"/>
        <v>5.059847707789831E-16</v>
      </c>
      <c r="J40" s="25"/>
      <c r="O40" s="8">
        <f t="shared" si="2"/>
        <v>7.9967125439506834E-2</v>
      </c>
      <c r="P40" s="4">
        <f t="shared" si="3"/>
        <v>1.19537</v>
      </c>
      <c r="Q40" s="5">
        <f t="shared" si="4"/>
        <v>1.4048799999999999</v>
      </c>
      <c r="R40" s="5">
        <f t="shared" si="5"/>
        <v>6.7</v>
      </c>
      <c r="Y40" s="1">
        <v>9</v>
      </c>
      <c r="Z40" s="21">
        <v>1.91578947368421</v>
      </c>
      <c r="AA40" s="21">
        <v>5.7894736842105274</v>
      </c>
      <c r="AB40" s="21">
        <v>3.789473684210527</v>
      </c>
      <c r="AC40" s="1">
        <f t="shared" si="8"/>
        <v>0.26357914039706642</v>
      </c>
      <c r="AD40" s="3">
        <f t="shared" si="7"/>
        <v>2.0699387394588455E-2</v>
      </c>
      <c r="AE40" s="3">
        <v>1.601627117023657E-2</v>
      </c>
    </row>
    <row r="41" spans="1:31" x14ac:dyDescent="0.35">
      <c r="A41" s="1" t="s">
        <v>38</v>
      </c>
      <c r="B41" s="3">
        <v>1.24E-2</v>
      </c>
      <c r="C41" s="4">
        <v>3.1156700000000002</v>
      </c>
      <c r="D41" s="4">
        <v>3.3270000000000001E-2</v>
      </c>
      <c r="E41" s="5">
        <v>6.1</v>
      </c>
      <c r="F41" s="1">
        <f t="shared" si="0"/>
        <v>-2.2445038731653928</v>
      </c>
      <c r="G41" s="1">
        <v>1.0224811907456144</v>
      </c>
      <c r="H41" s="1">
        <f t="shared" si="1"/>
        <v>-2.2445035937402089</v>
      </c>
      <c r="I41" s="1">
        <f t="shared" si="6"/>
        <v>7.8078433386384177E-14</v>
      </c>
      <c r="J41" s="25"/>
      <c r="O41" s="8">
        <f t="shared" si="2"/>
        <v>1.0224811907456144</v>
      </c>
      <c r="P41" s="4">
        <f t="shared" si="3"/>
        <v>3.1156700000000002</v>
      </c>
      <c r="Q41" s="5">
        <f t="shared" si="4"/>
        <v>3.3270000000000001E-2</v>
      </c>
      <c r="R41" s="5">
        <f t="shared" si="5"/>
        <v>6.1</v>
      </c>
      <c r="Y41" s="20">
        <v>10</v>
      </c>
      <c r="Z41" s="21">
        <v>1.905263157894737</v>
      </c>
      <c r="AA41" s="21">
        <v>5.7631578947368416</v>
      </c>
      <c r="AB41" s="21">
        <v>3.763157894736842</v>
      </c>
      <c r="AC41" s="1">
        <f t="shared" si="8"/>
        <v>0.26943740930928417</v>
      </c>
      <c r="AD41" s="3">
        <f t="shared" si="7"/>
        <v>2.0620632815980786E-2</v>
      </c>
      <c r="AE41" s="3">
        <v>1.8875716833346084E-2</v>
      </c>
    </row>
    <row r="42" spans="1:31" x14ac:dyDescent="0.35">
      <c r="A42" s="1" t="s">
        <v>39</v>
      </c>
      <c r="B42" s="3">
        <v>1.9400000000000001E-2</v>
      </c>
      <c r="C42" s="4">
        <v>0.61911000000000005</v>
      </c>
      <c r="D42" s="4">
        <v>1.8651899999999999</v>
      </c>
      <c r="E42" s="5">
        <v>5.9</v>
      </c>
      <c r="F42" s="1">
        <f t="shared" si="0"/>
        <v>-2.0663017106958548</v>
      </c>
      <c r="G42" s="1">
        <v>0.36275151630795621</v>
      </c>
      <c r="H42" s="1">
        <f t="shared" si="1"/>
        <v>-2.0663016162186851</v>
      </c>
      <c r="I42" s="1">
        <f t="shared" si="6"/>
        <v>8.9259355837843417E-15</v>
      </c>
      <c r="J42" s="25"/>
      <c r="O42" s="8">
        <f t="shared" si="2"/>
        <v>0.36275151630795621</v>
      </c>
      <c r="P42" s="4">
        <f t="shared" si="3"/>
        <v>0.61911000000000005</v>
      </c>
      <c r="Q42" s="5">
        <f t="shared" si="4"/>
        <v>1.8651899999999999</v>
      </c>
      <c r="R42" s="5">
        <f t="shared" si="5"/>
        <v>5.9</v>
      </c>
      <c r="Y42" s="1">
        <v>11</v>
      </c>
      <c r="Z42" s="21">
        <v>1.8947368421052631</v>
      </c>
      <c r="AA42" s="21">
        <v>5.7368421052631584</v>
      </c>
      <c r="AB42" s="21">
        <v>3.736842105263158</v>
      </c>
      <c r="AC42" s="1">
        <f t="shared" si="8"/>
        <v>0.27529567822150103</v>
      </c>
      <c r="AD42" s="3">
        <f t="shared" si="7"/>
        <v>2.0542132190661484E-2</v>
      </c>
      <c r="AE42" s="3">
        <v>2.1549858852531051E-2</v>
      </c>
    </row>
    <row r="43" spans="1:31" x14ac:dyDescent="0.35">
      <c r="A43" s="1" t="s">
        <v>40</v>
      </c>
      <c r="B43" s="3">
        <v>1.8100000000000002E-2</v>
      </c>
      <c r="C43" s="4">
        <v>-0.46760000000000002</v>
      </c>
      <c r="D43" s="4">
        <v>1.63096</v>
      </c>
      <c r="E43" s="5">
        <v>5.6</v>
      </c>
      <c r="F43" s="1">
        <f t="shared" si="0"/>
        <v>-2.0946737978604073</v>
      </c>
      <c r="G43" s="1">
        <v>0.46778900046388494</v>
      </c>
      <c r="H43" s="1">
        <f t="shared" si="1"/>
        <v>-2.0946736724043142</v>
      </c>
      <c r="I43" s="1">
        <f t="shared" si="6"/>
        <v>1.5739231288309931E-14</v>
      </c>
      <c r="J43" s="25"/>
      <c r="O43" s="8">
        <f t="shared" si="2"/>
        <v>0.46778900046388494</v>
      </c>
      <c r="P43" s="4">
        <f t="shared" si="3"/>
        <v>-0.46760000000000002</v>
      </c>
      <c r="Q43" s="5">
        <f t="shared" si="4"/>
        <v>1.63096</v>
      </c>
      <c r="R43" s="5">
        <f t="shared" si="5"/>
        <v>5.6</v>
      </c>
      <c r="Y43" s="20">
        <v>12</v>
      </c>
      <c r="Z43" s="21">
        <v>1.88421052631579</v>
      </c>
      <c r="AA43" s="21">
        <v>5.7105263157894726</v>
      </c>
      <c r="AB43" s="21">
        <v>3.710526315789473</v>
      </c>
      <c r="AC43" s="1">
        <f t="shared" si="8"/>
        <v>0.28115394713371966</v>
      </c>
      <c r="AD43" s="3">
        <f t="shared" si="7"/>
        <v>2.0463884895658858E-2</v>
      </c>
      <c r="AE43" s="3">
        <v>2.5078450785405826E-2</v>
      </c>
    </row>
    <row r="44" spans="1:31" x14ac:dyDescent="0.35">
      <c r="A44" s="1" t="s">
        <v>41</v>
      </c>
      <c r="B44" s="3">
        <v>1.7000000000000001E-2</v>
      </c>
      <c r="C44" s="4">
        <v>0.97745000000000004</v>
      </c>
      <c r="D44" s="4">
        <v>0.60575999999999997</v>
      </c>
      <c r="E44" s="5">
        <v>5.4</v>
      </c>
      <c r="F44" s="1">
        <f t="shared" si="0"/>
        <v>-2.1200716897421503</v>
      </c>
      <c r="G44" s="1">
        <v>0.56181558666288967</v>
      </c>
      <c r="H44" s="1">
        <f t="shared" si="1"/>
        <v>-2.1200715349675576</v>
      </c>
      <c r="I44" s="1">
        <f t="shared" si="6"/>
        <v>2.3955174544753913E-14</v>
      </c>
      <c r="J44" s="25"/>
      <c r="O44" s="8">
        <f t="shared" si="2"/>
        <v>0.56181558666288967</v>
      </c>
      <c r="P44" s="4">
        <f t="shared" si="3"/>
        <v>0.97745000000000004</v>
      </c>
      <c r="Q44" s="5">
        <f t="shared" si="4"/>
        <v>0.60575999999999997</v>
      </c>
      <c r="R44" s="5">
        <f t="shared" si="5"/>
        <v>5.4</v>
      </c>
      <c r="Y44" s="1">
        <v>13</v>
      </c>
      <c r="Z44" s="21">
        <v>1.8736842105263161</v>
      </c>
      <c r="AA44" s="21">
        <v>5.6842105263157894</v>
      </c>
      <c r="AB44" s="21">
        <v>3.6842105263157889</v>
      </c>
      <c r="AC44" s="1">
        <f t="shared" si="8"/>
        <v>0.28701221604593607</v>
      </c>
      <c r="AD44" s="3">
        <f t="shared" si="7"/>
        <v>2.038589030874504E-2</v>
      </c>
      <c r="AE44" s="3">
        <v>2.8277376320994325E-2</v>
      </c>
    </row>
    <row r="45" spans="1:31" x14ac:dyDescent="0.35">
      <c r="A45" s="1" t="s">
        <v>42</v>
      </c>
      <c r="B45" s="3">
        <v>1.6500000000000001E-2</v>
      </c>
      <c r="C45" s="4">
        <v>3.19191</v>
      </c>
      <c r="D45" s="4">
        <v>0.84552000000000005</v>
      </c>
      <c r="E45" s="5">
        <v>5.3</v>
      </c>
      <c r="F45" s="1">
        <f t="shared" si="0"/>
        <v>-2.1320832908064999</v>
      </c>
      <c r="G45" s="1">
        <v>0.60628425219543158</v>
      </c>
      <c r="H45" s="1">
        <f t="shared" si="1"/>
        <v>-2.1320831276587562</v>
      </c>
      <c r="I45" s="1">
        <f t="shared" si="6"/>
        <v>2.6617186293698001E-14</v>
      </c>
      <c r="J45" s="25"/>
      <c r="O45" s="8">
        <f t="shared" si="2"/>
        <v>0.60628425219543158</v>
      </c>
      <c r="P45" s="4">
        <f t="shared" si="3"/>
        <v>3.19191</v>
      </c>
      <c r="Q45" s="5">
        <f t="shared" si="4"/>
        <v>0.84552000000000005</v>
      </c>
      <c r="R45" s="5">
        <f t="shared" si="5"/>
        <v>5.3</v>
      </c>
      <c r="Y45" s="20">
        <v>14</v>
      </c>
      <c r="Z45" s="21">
        <v>1.8631578947368419</v>
      </c>
      <c r="AA45" s="21">
        <v>5.6578947368421053</v>
      </c>
      <c r="AB45" s="21">
        <v>3.6578947368421049</v>
      </c>
      <c r="AC45" s="1">
        <f t="shared" si="8"/>
        <v>0.29287048495815382</v>
      </c>
      <c r="AD45" s="3">
        <f t="shared" si="7"/>
        <v>2.0308147808438082E-2</v>
      </c>
      <c r="AE45" s="3">
        <v>2.9444775502910973E-2</v>
      </c>
    </row>
    <row r="46" spans="1:31" x14ac:dyDescent="0.35">
      <c r="A46" s="1" t="s">
        <v>43</v>
      </c>
      <c r="B46" s="3">
        <v>1.6299999999999999E-2</v>
      </c>
      <c r="C46" s="4">
        <v>0.91556000000000004</v>
      </c>
      <c r="D46" s="4">
        <v>1.19719</v>
      </c>
      <c r="E46" s="5">
        <v>5</v>
      </c>
      <c r="F46" s="1">
        <f t="shared" si="0"/>
        <v>-2.1369753080355753</v>
      </c>
      <c r="G46" s="1">
        <v>0.62439520135147486</v>
      </c>
      <c r="H46" s="1">
        <f t="shared" si="1"/>
        <v>-2.1369751418873864</v>
      </c>
      <c r="I46" s="1">
        <f t="shared" si="6"/>
        <v>2.7605220702911992E-14</v>
      </c>
      <c r="J46" s="25"/>
      <c r="O46" s="8">
        <f t="shared" si="2"/>
        <v>0.62439520135147486</v>
      </c>
      <c r="P46" s="4">
        <f t="shared" si="3"/>
        <v>0.91556000000000004</v>
      </c>
      <c r="Q46" s="5">
        <f t="shared" si="4"/>
        <v>1.19719</v>
      </c>
      <c r="R46" s="5">
        <f t="shared" si="5"/>
        <v>5</v>
      </c>
      <c r="Y46" s="1">
        <v>15</v>
      </c>
      <c r="Z46" s="21">
        <v>1.852631578947368</v>
      </c>
      <c r="AA46" s="21">
        <v>5.6315789473684212</v>
      </c>
      <c r="AB46" s="21">
        <v>3.6315789473684208</v>
      </c>
      <c r="AC46" s="1">
        <f t="shared" si="8"/>
        <v>0.29872875387037068</v>
      </c>
      <c r="AD46" s="3">
        <f t="shared" si="7"/>
        <v>2.0230656774004544E-2</v>
      </c>
      <c r="AE46" s="3">
        <v>3.0139189919882296E-2</v>
      </c>
    </row>
    <row r="47" spans="1:31" x14ac:dyDescent="0.35">
      <c r="A47" s="1" t="s">
        <v>44</v>
      </c>
      <c r="B47" s="3">
        <v>1.55E-2</v>
      </c>
      <c r="C47" s="4">
        <v>3.771E-2</v>
      </c>
      <c r="D47" s="4">
        <v>0.66654000000000002</v>
      </c>
      <c r="E47" s="5">
        <v>5</v>
      </c>
      <c r="F47" s="1">
        <f t="shared" si="0"/>
        <v>-2.1570727044790092</v>
      </c>
      <c r="G47" s="1">
        <v>0.69879862305451013</v>
      </c>
      <c r="H47" s="1">
        <f t="shared" si="1"/>
        <v>-2.1570725202464094</v>
      </c>
      <c r="I47" s="1">
        <f t="shared" si="6"/>
        <v>3.3941650844711946E-14</v>
      </c>
      <c r="J47" s="25"/>
      <c r="O47" s="8">
        <f t="shared" si="2"/>
        <v>0.69879862305451013</v>
      </c>
      <c r="P47" s="4">
        <f t="shared" si="3"/>
        <v>3.771E-2</v>
      </c>
      <c r="Q47" s="5">
        <f t="shared" si="4"/>
        <v>0.66654000000000002</v>
      </c>
      <c r="R47" s="5">
        <f t="shared" si="5"/>
        <v>5</v>
      </c>
      <c r="Y47" s="20">
        <v>16</v>
      </c>
      <c r="Z47" s="21">
        <v>1.8421052631578949</v>
      </c>
      <c r="AA47" s="21">
        <v>5.6052631578947372</v>
      </c>
      <c r="AB47" s="21">
        <v>3.6052631578947372</v>
      </c>
      <c r="AC47" s="1">
        <f t="shared" si="8"/>
        <v>0.30458702278258842</v>
      </c>
      <c r="AD47" s="3">
        <f t="shared" si="7"/>
        <v>2.0153416585461294E-2</v>
      </c>
      <c r="AE47" s="3">
        <v>3.0152601950563612E-2</v>
      </c>
    </row>
    <row r="48" spans="1:31" x14ac:dyDescent="0.35">
      <c r="A48" s="1" t="s">
        <v>45</v>
      </c>
      <c r="B48" s="3">
        <v>1.49E-2</v>
      </c>
      <c r="C48" s="4">
        <v>0.85150999999999999</v>
      </c>
      <c r="D48" s="4">
        <v>0.18210999999999999</v>
      </c>
      <c r="E48" s="5">
        <v>5</v>
      </c>
      <c r="F48" s="1">
        <f t="shared" si="0"/>
        <v>-2.172738557951301</v>
      </c>
      <c r="G48" s="1">
        <v>0.75679581482296687</v>
      </c>
      <c r="H48" s="1">
        <f t="shared" si="1"/>
        <v>-2.1727383522747226</v>
      </c>
      <c r="I48" s="1">
        <f t="shared" si="6"/>
        <v>4.2302854916847028E-14</v>
      </c>
      <c r="J48" s="25"/>
      <c r="O48" s="8">
        <f t="shared" si="2"/>
        <v>0.75679581482296687</v>
      </c>
      <c r="P48" s="4">
        <f t="shared" si="3"/>
        <v>0.85150999999999999</v>
      </c>
      <c r="Q48" s="5">
        <f t="shared" si="4"/>
        <v>0.18210999999999999</v>
      </c>
      <c r="R48" s="5">
        <f t="shared" si="5"/>
        <v>5</v>
      </c>
      <c r="Y48" s="1">
        <v>17</v>
      </c>
      <c r="Z48" s="21">
        <v>1.831578947368421</v>
      </c>
      <c r="AA48" s="21">
        <v>5.5789473684210531</v>
      </c>
      <c r="AB48" s="21">
        <v>3.5789473684210531</v>
      </c>
      <c r="AC48" s="1">
        <f t="shared" si="8"/>
        <v>0.31044529169480573</v>
      </c>
      <c r="AD48" s="3">
        <f t="shared" si="7"/>
        <v>2.0076426623578104E-2</v>
      </c>
      <c r="AE48" s="3">
        <v>2.9461037066123748E-2</v>
      </c>
    </row>
    <row r="49" spans="1:31" x14ac:dyDescent="0.35">
      <c r="A49" s="1" t="s">
        <v>46</v>
      </c>
      <c r="B49" s="3">
        <v>1.41E-2</v>
      </c>
      <c r="C49" s="4">
        <v>3.0103499999999999</v>
      </c>
      <c r="D49" s="4">
        <v>0.49252000000000001</v>
      </c>
      <c r="E49" s="5">
        <v>4.9000000000000004</v>
      </c>
      <c r="F49" s="1">
        <f t="shared" si="0"/>
        <v>-2.1944928138848638</v>
      </c>
      <c r="G49" s="1">
        <v>0.83733315497749983</v>
      </c>
      <c r="H49" s="1">
        <f t="shared" si="1"/>
        <v>-2.1944925856159689</v>
      </c>
      <c r="I49" s="1">
        <f t="shared" si="6"/>
        <v>5.210668837765941E-14</v>
      </c>
      <c r="J49" s="25"/>
      <c r="O49" s="8">
        <f t="shared" si="2"/>
        <v>0.83733315497749983</v>
      </c>
      <c r="P49" s="4">
        <f t="shared" si="3"/>
        <v>3.0103499999999999</v>
      </c>
      <c r="Q49" s="5">
        <f t="shared" si="4"/>
        <v>0.49252000000000001</v>
      </c>
      <c r="R49" s="5">
        <f t="shared" si="5"/>
        <v>4.9000000000000004</v>
      </c>
      <c r="Y49" s="20">
        <v>18</v>
      </c>
      <c r="Z49" s="21">
        <v>1.821052631578947</v>
      </c>
      <c r="AA49" s="21">
        <v>5.5526315789473681</v>
      </c>
      <c r="AB49" s="21">
        <v>3.552631578947369</v>
      </c>
      <c r="AC49" s="1">
        <f t="shared" si="8"/>
        <v>0.31630356060702325</v>
      </c>
      <c r="AD49" s="3">
        <f t="shared" si="7"/>
        <v>1.9999686269879642E-2</v>
      </c>
      <c r="AE49" s="3">
        <v>2.7646761487707457E-2</v>
      </c>
    </row>
    <row r="50" spans="1:31" x14ac:dyDescent="0.35">
      <c r="A50" s="1" t="s">
        <v>47</v>
      </c>
      <c r="B50" s="3">
        <v>1.29E-2</v>
      </c>
      <c r="C50" s="4">
        <v>1.1137600000000001</v>
      </c>
      <c r="D50" s="4">
        <v>1.00275</v>
      </c>
      <c r="E50" s="5">
        <v>5</v>
      </c>
      <c r="F50" s="1">
        <f t="shared" si="0"/>
        <v>-2.2292090300104639</v>
      </c>
      <c r="G50" s="1">
        <v>0.96585765344022123</v>
      </c>
      <c r="H50" s="1">
        <f t="shared" si="1"/>
        <v>-2.2292088045059884</v>
      </c>
      <c r="I50" s="1">
        <f t="shared" si="6"/>
        <v>5.0852268487336369E-14</v>
      </c>
      <c r="J50" s="25"/>
      <c r="O50" s="8">
        <f t="shared" si="2"/>
        <v>0.96585765344022123</v>
      </c>
      <c r="P50" s="4">
        <f t="shared" si="3"/>
        <v>1.1137600000000001</v>
      </c>
      <c r="Q50" s="5">
        <f t="shared" si="4"/>
        <v>1.00275</v>
      </c>
      <c r="R50" s="5">
        <f t="shared" si="5"/>
        <v>5</v>
      </c>
      <c r="Y50" s="1">
        <v>19</v>
      </c>
      <c r="Z50" s="21">
        <v>1.810526315789474</v>
      </c>
      <c r="AA50" s="21">
        <v>5.5263157894736841</v>
      </c>
      <c r="AB50" s="21">
        <v>3.5263157894736841</v>
      </c>
      <c r="AC50" s="1">
        <f t="shared" si="8"/>
        <v>0.32216182951924077</v>
      </c>
      <c r="AD50" s="3">
        <f t="shared" si="7"/>
        <v>1.9923194906647724E-2</v>
      </c>
      <c r="AE50" s="3">
        <v>2.7396577548770947E-2</v>
      </c>
    </row>
    <row r="51" spans="1:31" x14ac:dyDescent="0.35">
      <c r="A51" s="1" t="s">
        <v>48</v>
      </c>
      <c r="B51" s="3">
        <v>1.29E-2</v>
      </c>
      <c r="C51" s="4">
        <v>0.24792</v>
      </c>
      <c r="D51" s="4">
        <v>0.96697</v>
      </c>
      <c r="E51" s="5">
        <v>4.7</v>
      </c>
      <c r="F51" s="1">
        <f t="shared" si="0"/>
        <v>-2.2292090300104639</v>
      </c>
      <c r="G51" s="1">
        <v>0.96585746395508587</v>
      </c>
      <c r="H51" s="1">
        <f t="shared" si="1"/>
        <v>-2.2292087533234706</v>
      </c>
      <c r="I51" s="1">
        <f t="shared" si="6"/>
        <v>7.6555692270715085E-14</v>
      </c>
      <c r="J51" s="25"/>
      <c r="O51" s="8">
        <f t="shared" si="2"/>
        <v>0.96585746395508587</v>
      </c>
      <c r="P51" s="4">
        <f t="shared" si="3"/>
        <v>0.24792</v>
      </c>
      <c r="Q51" s="5">
        <f t="shared" si="4"/>
        <v>0.96697</v>
      </c>
      <c r="R51" s="5">
        <f t="shared" si="5"/>
        <v>4.7</v>
      </c>
      <c r="Y51" s="28">
        <v>20</v>
      </c>
      <c r="Z51" s="21">
        <v>1.8</v>
      </c>
      <c r="AA51" s="21">
        <v>5.5</v>
      </c>
      <c r="AB51" s="21">
        <v>3.5</v>
      </c>
      <c r="AC51" s="1">
        <f t="shared" si="8"/>
        <v>0.32802009843145785</v>
      </c>
      <c r="AD51" s="3">
        <f t="shared" si="7"/>
        <v>1.9846951916923504E-2</v>
      </c>
      <c r="AE51" s="3">
        <v>2.7537026666745831E-2</v>
      </c>
    </row>
    <row r="52" spans="1:31" x14ac:dyDescent="0.35">
      <c r="A52" s="1" t="s">
        <v>49</v>
      </c>
      <c r="B52" s="3">
        <v>1.24E-2</v>
      </c>
      <c r="C52" s="4">
        <v>1.15462</v>
      </c>
      <c r="D52" s="4">
        <v>1.0413600000000001</v>
      </c>
      <c r="E52" s="5">
        <v>4.4000000000000004</v>
      </c>
      <c r="F52" s="1">
        <f t="shared" si="0"/>
        <v>-2.2445038731653928</v>
      </c>
      <c r="G52" s="1">
        <v>1.0224812343745973</v>
      </c>
      <c r="H52" s="1">
        <f t="shared" si="1"/>
        <v>-2.2445036055249918</v>
      </c>
      <c r="I52" s="1">
        <f t="shared" si="6"/>
        <v>7.1631384222137485E-14</v>
      </c>
      <c r="J52" s="25"/>
      <c r="O52" s="8">
        <f t="shared" si="2"/>
        <v>1.0224812343745973</v>
      </c>
      <c r="P52" s="4">
        <f t="shared" si="3"/>
        <v>1.15462</v>
      </c>
      <c r="Q52" s="5">
        <f t="shared" si="4"/>
        <v>1.0413600000000001</v>
      </c>
      <c r="R52" s="5">
        <f t="shared" si="5"/>
        <v>4.4000000000000004</v>
      </c>
      <c r="Y52" s="1">
        <v>21</v>
      </c>
      <c r="Z52" s="21">
        <v>1.8</v>
      </c>
      <c r="AA52" s="21">
        <v>5.5</v>
      </c>
      <c r="AB52" s="21">
        <v>3.5</v>
      </c>
      <c r="AC52" s="1">
        <f t="shared" si="8"/>
        <v>0.32802009843145785</v>
      </c>
      <c r="AD52" s="3">
        <f t="shared" si="7"/>
        <v>1.9846951916923504E-2</v>
      </c>
      <c r="AE52" s="3">
        <v>2.8939468609434336E-2</v>
      </c>
    </row>
    <row r="53" spans="1:31" x14ac:dyDescent="0.35">
      <c r="A53" s="1" t="s">
        <v>50</v>
      </c>
      <c r="B53" s="3">
        <v>1.23E-2</v>
      </c>
      <c r="C53" s="4">
        <v>3.07423</v>
      </c>
      <c r="D53" s="4">
        <v>0.99900999999999995</v>
      </c>
      <c r="E53" s="5">
        <v>4.3</v>
      </c>
      <c r="F53" s="1">
        <f t="shared" si="0"/>
        <v>-2.2476267557951379</v>
      </c>
      <c r="G53" s="1">
        <v>1.0340425677249925</v>
      </c>
      <c r="H53" s="1">
        <f t="shared" si="1"/>
        <v>-2.2476264792498735</v>
      </c>
      <c r="I53" s="1">
        <f t="shared" si="6"/>
        <v>7.6477283298551108E-14</v>
      </c>
      <c r="J53" s="25"/>
      <c r="O53" s="8">
        <f t="shared" si="2"/>
        <v>1.0340425677249925</v>
      </c>
      <c r="P53" s="4">
        <f t="shared" si="3"/>
        <v>3.07423</v>
      </c>
      <c r="Q53" s="5">
        <f t="shared" si="4"/>
        <v>0.99900999999999995</v>
      </c>
      <c r="R53" s="5">
        <f t="shared" si="5"/>
        <v>4.3</v>
      </c>
      <c r="Y53" s="20">
        <v>22</v>
      </c>
      <c r="Z53" s="21">
        <v>1.8</v>
      </c>
      <c r="AA53" s="21">
        <v>5.5</v>
      </c>
      <c r="AB53" s="21">
        <v>3.5</v>
      </c>
      <c r="AC53" s="1">
        <f t="shared" si="8"/>
        <v>0.32802009843145785</v>
      </c>
      <c r="AD53" s="3">
        <f t="shared" si="7"/>
        <v>1.9846951916923504E-2</v>
      </c>
      <c r="AE53" s="3">
        <v>2.9957532096019555E-2</v>
      </c>
    </row>
    <row r="54" spans="1:31" x14ac:dyDescent="0.35">
      <c r="A54" s="1" t="s">
        <v>51</v>
      </c>
      <c r="B54" s="3">
        <v>1.24E-2</v>
      </c>
      <c r="C54" s="4">
        <v>1.32586</v>
      </c>
      <c r="D54" s="4">
        <v>0.82240000000000002</v>
      </c>
      <c r="E54" s="5">
        <v>4.3</v>
      </c>
      <c r="F54" s="1">
        <f t="shared" si="0"/>
        <v>-2.2445038731653928</v>
      </c>
      <c r="G54" s="1">
        <v>1.0224812110601675</v>
      </c>
      <c r="H54" s="1">
        <f t="shared" si="1"/>
        <v>-2.2445035992274467</v>
      </c>
      <c r="I54" s="1">
        <f t="shared" si="6"/>
        <v>7.5041998316089996E-14</v>
      </c>
      <c r="J54" s="25"/>
      <c r="O54" s="8">
        <f t="shared" si="2"/>
        <v>1.0224812110601675</v>
      </c>
      <c r="P54" s="4">
        <f t="shared" si="3"/>
        <v>1.32586</v>
      </c>
      <c r="Q54" s="5">
        <f t="shared" si="4"/>
        <v>0.82240000000000002</v>
      </c>
      <c r="R54" s="5">
        <f t="shared" si="5"/>
        <v>4.3</v>
      </c>
      <c r="Y54" s="1">
        <v>23</v>
      </c>
      <c r="Z54" s="21">
        <v>1.8</v>
      </c>
      <c r="AA54" s="21">
        <v>5.5</v>
      </c>
      <c r="AB54" s="21">
        <v>3.5</v>
      </c>
      <c r="AC54" s="1">
        <f t="shared" si="8"/>
        <v>0.32802009843145785</v>
      </c>
      <c r="AD54" s="3">
        <f t="shared" si="7"/>
        <v>1.9846951916923504E-2</v>
      </c>
      <c r="AE54" s="3">
        <v>3.0200028655570255E-2</v>
      </c>
    </row>
    <row r="55" spans="1:31" x14ac:dyDescent="0.35">
      <c r="A55" s="1" t="s">
        <v>52</v>
      </c>
      <c r="B55" s="3">
        <v>1.1399999999999999E-2</v>
      </c>
      <c r="C55" s="4">
        <v>0.52925999999999995</v>
      </c>
      <c r="D55" s="4">
        <v>1.30643</v>
      </c>
      <c r="E55" s="5">
        <v>4.0999999999999996</v>
      </c>
      <c r="F55" s="1">
        <f t="shared" si="0"/>
        <v>-2.2767693956048904</v>
      </c>
      <c r="G55" s="1">
        <v>1.1419327493163407</v>
      </c>
      <c r="H55" s="1">
        <f t="shared" si="1"/>
        <v>-2.2767690878965476</v>
      </c>
      <c r="I55" s="1">
        <f t="shared" si="6"/>
        <v>9.4684424232429238E-14</v>
      </c>
      <c r="J55" s="25"/>
      <c r="O55" s="8">
        <f t="shared" si="2"/>
        <v>1.1419327493163407</v>
      </c>
      <c r="P55" s="4">
        <f t="shared" si="3"/>
        <v>0.52925999999999995</v>
      </c>
      <c r="Q55" s="5">
        <f t="shared" si="4"/>
        <v>1.30643</v>
      </c>
      <c r="R55" s="5">
        <f t="shared" si="5"/>
        <v>4.0999999999999996</v>
      </c>
      <c r="Y55" s="20">
        <v>24</v>
      </c>
      <c r="Z55" s="21">
        <v>1.8</v>
      </c>
      <c r="AA55" s="21">
        <v>5.5</v>
      </c>
      <c r="AB55" s="21">
        <v>3.5</v>
      </c>
      <c r="AC55" s="1">
        <f t="shared" si="8"/>
        <v>0.32802009843145785</v>
      </c>
      <c r="AD55" s="3">
        <f t="shared" si="7"/>
        <v>1.9846951916923504E-2</v>
      </c>
      <c r="AE55" s="3">
        <v>2.9844334702744245E-2</v>
      </c>
    </row>
    <row r="56" spans="1:31" x14ac:dyDescent="0.35">
      <c r="A56" s="1" t="s">
        <v>53</v>
      </c>
      <c r="B56" s="3">
        <v>2.5099999999999997E-2</v>
      </c>
      <c r="C56" s="4">
        <v>1.39201</v>
      </c>
      <c r="D56" s="4">
        <v>1.74935</v>
      </c>
      <c r="E56" s="5">
        <v>4</v>
      </c>
      <c r="F56" s="1">
        <f t="shared" si="0"/>
        <v>-1.9582558379498316</v>
      </c>
      <c r="G56" s="1">
        <v>-3.7249841755465189E-2</v>
      </c>
      <c r="H56" s="1">
        <f t="shared" si="1"/>
        <v>-1.9582557971808261</v>
      </c>
      <c r="I56" s="1">
        <f t="shared" si="6"/>
        <v>1.6621118098561524E-15</v>
      </c>
      <c r="J56" s="25"/>
      <c r="O56" s="8">
        <f t="shared" si="2"/>
        <v>-3.7249841755465189E-2</v>
      </c>
      <c r="P56" s="4">
        <f t="shared" si="3"/>
        <v>1.39201</v>
      </c>
      <c r="Q56" s="5">
        <f t="shared" si="4"/>
        <v>1.74935</v>
      </c>
      <c r="R56" s="5">
        <f t="shared" si="5"/>
        <v>4</v>
      </c>
      <c r="Y56" s="1">
        <v>25</v>
      </c>
      <c r="Z56" s="21">
        <v>1.8</v>
      </c>
      <c r="AA56" s="21">
        <v>5.5</v>
      </c>
      <c r="AB56" s="21">
        <v>3.5</v>
      </c>
      <c r="AC56" s="1">
        <f t="shared" si="8"/>
        <v>0.32802009843145785</v>
      </c>
      <c r="AD56" s="3">
        <f t="shared" si="7"/>
        <v>1.9846951916923504E-2</v>
      </c>
      <c r="AE56" s="3">
        <v>2.9399833707301062E-2</v>
      </c>
    </row>
    <row r="57" spans="1:31" x14ac:dyDescent="0.35">
      <c r="A57" s="1" t="s">
        <v>54</v>
      </c>
      <c r="B57" s="3">
        <v>2.3099999999999999E-2</v>
      </c>
      <c r="C57" s="4">
        <v>2.75386</v>
      </c>
      <c r="D57" s="4">
        <v>1.4546300000000001</v>
      </c>
      <c r="E57" s="5">
        <v>4</v>
      </c>
      <c r="F57" s="1">
        <f t="shared" si="0"/>
        <v>-1.9935614662775218</v>
      </c>
      <c r="G57" s="1">
        <v>9.3456499232276155E-2</v>
      </c>
      <c r="H57" s="1">
        <f t="shared" si="1"/>
        <v>-1.9935613614764931</v>
      </c>
      <c r="I57" s="1">
        <f t="shared" si="6"/>
        <v>1.0983255625822912E-14</v>
      </c>
      <c r="J57" s="25"/>
      <c r="O57" s="8">
        <f t="shared" si="2"/>
        <v>9.3456499232276155E-2</v>
      </c>
      <c r="P57" s="4">
        <f t="shared" si="3"/>
        <v>2.75386</v>
      </c>
      <c r="Q57" s="5">
        <f t="shared" si="4"/>
        <v>1.4546300000000001</v>
      </c>
      <c r="R57" s="5">
        <f t="shared" si="5"/>
        <v>4</v>
      </c>
      <c r="Y57" s="20">
        <v>26</v>
      </c>
      <c r="Z57" s="21">
        <v>1.8</v>
      </c>
      <c r="AA57" s="21">
        <v>5.5</v>
      </c>
      <c r="AB57" s="21">
        <v>3.5</v>
      </c>
      <c r="AC57" s="1">
        <f t="shared" si="8"/>
        <v>0.32802009843145785</v>
      </c>
      <c r="AD57" s="3">
        <f t="shared" si="7"/>
        <v>1.9846951916923504E-2</v>
      </c>
      <c r="AE57" s="3">
        <v>2.8549311745462564E-2</v>
      </c>
    </row>
    <row r="58" spans="1:31" x14ac:dyDescent="0.35">
      <c r="A58" s="1" t="s">
        <v>55</v>
      </c>
      <c r="B58" s="3">
        <v>1.8700000000000001E-2</v>
      </c>
      <c r="C58" s="4">
        <v>0.65334999999999999</v>
      </c>
      <c r="D58" s="4">
        <v>1.2414000000000001</v>
      </c>
      <c r="E58" s="5">
        <v>3.7</v>
      </c>
      <c r="F58" s="1">
        <f t="shared" si="0"/>
        <v>-2.0813705732455126</v>
      </c>
      <c r="G58" s="1">
        <v>0.41853857279227097</v>
      </c>
      <c r="H58" s="1">
        <f t="shared" si="1"/>
        <v>-2.0813704605814669</v>
      </c>
      <c r="I58" s="1">
        <f t="shared" si="6"/>
        <v>1.2693187181855413E-14</v>
      </c>
      <c r="J58" s="25"/>
      <c r="O58" s="8">
        <f t="shared" si="2"/>
        <v>0.41853857279227097</v>
      </c>
      <c r="P58" s="4">
        <f t="shared" si="3"/>
        <v>0.65334999999999999</v>
      </c>
      <c r="Q58" s="5">
        <f t="shared" si="4"/>
        <v>1.2414000000000001</v>
      </c>
      <c r="R58" s="5">
        <f t="shared" si="5"/>
        <v>3.7</v>
      </c>
      <c r="Y58" s="1">
        <v>27</v>
      </c>
      <c r="Z58" s="21">
        <v>1.8</v>
      </c>
      <c r="AA58" s="21">
        <v>5.5</v>
      </c>
      <c r="AB58" s="21">
        <v>3.5</v>
      </c>
      <c r="AC58" s="1">
        <f t="shared" si="8"/>
        <v>0.32802009843145785</v>
      </c>
      <c r="AD58" s="3">
        <f t="shared" si="7"/>
        <v>1.9846951916923504E-2</v>
      </c>
      <c r="AE58" s="3">
        <v>2.8109130980874922E-2</v>
      </c>
    </row>
    <row r="59" spans="1:31" x14ac:dyDescent="0.35">
      <c r="A59" s="1" t="s">
        <v>56</v>
      </c>
      <c r="B59" s="3">
        <v>2.2799999999999997E-2</v>
      </c>
      <c r="C59" s="4">
        <v>-0.33015</v>
      </c>
      <c r="D59" s="4">
        <v>1.0583499999999999</v>
      </c>
      <c r="E59" s="5">
        <v>3.9</v>
      </c>
      <c r="F59" s="1">
        <f t="shared" si="0"/>
        <v>-1.9990772149717695</v>
      </c>
      <c r="G59" s="1">
        <v>0.1138769160000128</v>
      </c>
      <c r="H59" s="1">
        <f t="shared" si="1"/>
        <v>-1.9990771943862771</v>
      </c>
      <c r="I59" s="1">
        <f t="shared" si="6"/>
        <v>4.2376249824746735E-16</v>
      </c>
      <c r="J59" s="25"/>
      <c r="O59" s="8">
        <f t="shared" si="2"/>
        <v>0.1138769160000128</v>
      </c>
      <c r="P59" s="4">
        <f t="shared" si="3"/>
        <v>-0.33015</v>
      </c>
      <c r="Q59" s="5">
        <f t="shared" si="4"/>
        <v>1.0583499999999999</v>
      </c>
      <c r="R59" s="5">
        <f t="shared" si="5"/>
        <v>3.9</v>
      </c>
      <c r="Y59" s="20">
        <v>28</v>
      </c>
      <c r="Z59" s="21">
        <v>1.8</v>
      </c>
      <c r="AA59" s="21">
        <v>5.5</v>
      </c>
      <c r="AB59" s="21">
        <v>3.5</v>
      </c>
      <c r="AC59" s="1">
        <f t="shared" si="8"/>
        <v>0.32802009843145785</v>
      </c>
      <c r="AD59" s="3">
        <f t="shared" si="7"/>
        <v>1.9846951916923504E-2</v>
      </c>
      <c r="AE59" s="3">
        <v>2.7959268376669774E-2</v>
      </c>
    </row>
    <row r="60" spans="1:31" x14ac:dyDescent="0.35">
      <c r="A60" s="1" t="s">
        <v>57</v>
      </c>
      <c r="B60" s="3">
        <v>2.9100000000000001E-2</v>
      </c>
      <c r="C60" s="4">
        <v>0.52471999999999996</v>
      </c>
      <c r="D60" s="4">
        <v>0.57281000000000004</v>
      </c>
      <c r="E60" s="5">
        <v>3.8</v>
      </c>
      <c r="F60" s="1">
        <f t="shared" si="0"/>
        <v>-1.8941884548311672</v>
      </c>
      <c r="G60" s="1">
        <v>-0.27443676099167741</v>
      </c>
      <c r="H60" s="1">
        <f t="shared" si="1"/>
        <v>-1.8941883773150174</v>
      </c>
      <c r="I60" s="1">
        <f t="shared" si="6"/>
        <v>6.0087534676135433E-15</v>
      </c>
      <c r="J60" s="25"/>
      <c r="O60" s="8">
        <f t="shared" si="2"/>
        <v>-0.27443676099167741</v>
      </c>
      <c r="P60" s="4">
        <f t="shared" si="3"/>
        <v>0.52471999999999996</v>
      </c>
      <c r="Q60" s="5">
        <f t="shared" si="4"/>
        <v>0.57281000000000004</v>
      </c>
      <c r="R60" s="5">
        <f t="shared" si="5"/>
        <v>3.8</v>
      </c>
      <c r="Y60" s="1">
        <v>29</v>
      </c>
      <c r="Z60" s="21">
        <v>1.8</v>
      </c>
      <c r="AA60" s="21">
        <v>5.5</v>
      </c>
      <c r="AB60" s="21">
        <v>3.5</v>
      </c>
      <c r="AC60" s="1">
        <f t="shared" si="8"/>
        <v>0.32802009843145785</v>
      </c>
      <c r="AD60" s="3">
        <f t="shared" si="7"/>
        <v>1.9846951916923504E-2</v>
      </c>
      <c r="AE60" s="3">
        <v>2.7506242699157885E-2</v>
      </c>
    </row>
    <row r="61" spans="1:31" x14ac:dyDescent="0.35">
      <c r="A61" s="1" t="s">
        <v>58</v>
      </c>
      <c r="B61" s="3">
        <v>2.8799999999999999E-2</v>
      </c>
      <c r="C61" s="4">
        <v>2.3406500000000001</v>
      </c>
      <c r="D61" s="4">
        <v>0.92615999999999998</v>
      </c>
      <c r="E61" s="5">
        <v>3.6</v>
      </c>
      <c r="F61" s="1">
        <f t="shared" si="0"/>
        <v>-1.8987298859645767</v>
      </c>
      <c r="G61" s="1">
        <v>-0.2576236499579948</v>
      </c>
      <c r="H61" s="1">
        <f t="shared" si="1"/>
        <v>-1.8987298277765947</v>
      </c>
      <c r="I61" s="1">
        <f t="shared" si="6"/>
        <v>3.3858412478720426E-15</v>
      </c>
      <c r="J61" s="25"/>
      <c r="O61" s="8">
        <f t="shared" si="2"/>
        <v>-0.2576236499579948</v>
      </c>
      <c r="P61" s="4">
        <f t="shared" si="3"/>
        <v>2.3406500000000001</v>
      </c>
      <c r="Q61" s="5">
        <f t="shared" si="4"/>
        <v>0.92615999999999998</v>
      </c>
      <c r="R61" s="5">
        <f t="shared" si="5"/>
        <v>3.6</v>
      </c>
      <c r="Y61" s="20">
        <v>30</v>
      </c>
      <c r="Z61" s="21">
        <v>1.8</v>
      </c>
      <c r="AA61" s="21">
        <v>5.5</v>
      </c>
      <c r="AB61" s="21">
        <v>3.5</v>
      </c>
      <c r="AC61" s="1">
        <f t="shared" si="8"/>
        <v>0.32802009843145785</v>
      </c>
      <c r="AD61" s="3">
        <f t="shared" si="7"/>
        <v>1.9846951916923504E-2</v>
      </c>
      <c r="AE61" s="3">
        <v>2.6826151846382793E-2</v>
      </c>
    </row>
    <row r="62" spans="1:31" x14ac:dyDescent="0.35">
      <c r="A62" s="1" t="s">
        <v>59</v>
      </c>
      <c r="B62" s="3">
        <v>3.5200000000000002E-2</v>
      </c>
      <c r="C62" s="4">
        <v>0.61119999999999997</v>
      </c>
      <c r="D62" s="4">
        <v>1.3563099999999999</v>
      </c>
      <c r="E62" s="5">
        <v>3.5</v>
      </c>
      <c r="F62" s="1">
        <f t="shared" si="0"/>
        <v>-1.8093283960319981</v>
      </c>
      <c r="G62" s="1">
        <v>-0.58860131495044543</v>
      </c>
      <c r="H62" s="1">
        <f t="shared" si="1"/>
        <v>-1.809328249065761</v>
      </c>
      <c r="I62" s="1">
        <f t="shared" si="6"/>
        <v>2.1599074870855067E-14</v>
      </c>
      <c r="J62" s="25"/>
      <c r="O62" s="8">
        <f t="shared" si="2"/>
        <v>-0.58860131495044543</v>
      </c>
      <c r="P62" s="4">
        <f t="shared" si="3"/>
        <v>0.61119999999999997</v>
      </c>
      <c r="Q62" s="5">
        <f t="shared" si="4"/>
        <v>1.3563099999999999</v>
      </c>
      <c r="R62" s="5">
        <f t="shared" si="5"/>
        <v>3.5</v>
      </c>
      <c r="Y62" s="1">
        <v>31</v>
      </c>
      <c r="Z62" s="21">
        <v>1.8</v>
      </c>
      <c r="AA62" s="21">
        <v>5.5</v>
      </c>
      <c r="AB62" s="21">
        <v>3.5</v>
      </c>
      <c r="AC62" s="1">
        <f t="shared" si="8"/>
        <v>0.32802009843145785</v>
      </c>
      <c r="AD62" s="3">
        <f t="shared" si="7"/>
        <v>1.9846951916923504E-2</v>
      </c>
      <c r="AE62" s="3">
        <v>2.5822078264631218E-2</v>
      </c>
    </row>
    <row r="63" spans="1:31" x14ac:dyDescent="0.35">
      <c r="A63" s="1" t="s">
        <v>60</v>
      </c>
      <c r="B63" s="3">
        <v>4.3400000000000001E-2</v>
      </c>
      <c r="C63" s="4">
        <v>0.17229</v>
      </c>
      <c r="D63" s="4">
        <v>1.4918899999999999</v>
      </c>
      <c r="E63" s="5">
        <v>3.6</v>
      </c>
      <c r="F63" s="1">
        <f t="shared" si="0"/>
        <v>-1.7125247908368628</v>
      </c>
      <c r="G63" s="1">
        <v>-0.94698276694109962</v>
      </c>
      <c r="H63" s="1">
        <f t="shared" si="1"/>
        <v>-1.7125245339589539</v>
      </c>
      <c r="I63" s="1">
        <f t="shared" si="6"/>
        <v>6.5986260103452149E-14</v>
      </c>
      <c r="J63" s="25"/>
      <c r="O63" s="8">
        <f t="shared" si="2"/>
        <v>-0.94698276694109962</v>
      </c>
      <c r="P63" s="4">
        <f t="shared" si="3"/>
        <v>0.17229</v>
      </c>
      <c r="Q63" s="5">
        <f t="shared" si="4"/>
        <v>1.4918899999999999</v>
      </c>
      <c r="R63" s="5">
        <f t="shared" si="5"/>
        <v>3.6</v>
      </c>
      <c r="Y63" s="20">
        <v>32</v>
      </c>
      <c r="Z63" s="21">
        <v>1.8</v>
      </c>
      <c r="AA63" s="21">
        <v>5.5</v>
      </c>
      <c r="AB63" s="21">
        <v>3.5</v>
      </c>
      <c r="AC63" s="1">
        <f t="shared" si="8"/>
        <v>0.32802009843145785</v>
      </c>
      <c r="AD63" s="3">
        <f t="shared" si="7"/>
        <v>1.9846951916923504E-2</v>
      </c>
      <c r="AE63" s="3">
        <v>2.4274872573592846E-2</v>
      </c>
    </row>
    <row r="64" spans="1:31" x14ac:dyDescent="0.35">
      <c r="A64" s="1" t="s">
        <v>61</v>
      </c>
      <c r="B64" s="3">
        <v>6.8900000000000003E-2</v>
      </c>
      <c r="C64" s="4">
        <v>1.3928700000000001</v>
      </c>
      <c r="D64" s="4">
        <v>0.99482000000000004</v>
      </c>
      <c r="E64" s="5">
        <v>4.4000000000000004</v>
      </c>
      <c r="F64" s="1">
        <f t="shared" si="0"/>
        <v>-1.4840336262330422</v>
      </c>
      <c r="G64" s="1">
        <v>-1.7928911870928612</v>
      </c>
      <c r="H64" s="1">
        <f t="shared" si="1"/>
        <v>-1.4840331395076705</v>
      </c>
      <c r="I64" s="1">
        <f t="shared" si="6"/>
        <v>2.3690158753866457E-13</v>
      </c>
      <c r="J64" s="25"/>
      <c r="O64" s="8">
        <f t="shared" si="2"/>
        <v>-1.7928911870928612</v>
      </c>
      <c r="P64" s="4">
        <f t="shared" si="3"/>
        <v>1.3928700000000001</v>
      </c>
      <c r="Q64" s="5">
        <f t="shared" si="4"/>
        <v>0.99482000000000004</v>
      </c>
      <c r="R64" s="5">
        <f t="shared" si="5"/>
        <v>4.4000000000000004</v>
      </c>
      <c r="Y64" s="1">
        <v>33</v>
      </c>
      <c r="Z64" s="21">
        <v>1.8</v>
      </c>
      <c r="AA64" s="21">
        <v>5.5</v>
      </c>
      <c r="AB64" s="21">
        <v>3.5</v>
      </c>
      <c r="AC64" s="1">
        <f t="shared" si="8"/>
        <v>0.32802009843145785</v>
      </c>
      <c r="AD64" s="3">
        <f t="shared" ref="AD64:AD95" si="9">_xlfn.NORM.S.DIST(($L$3-SQRT($L$2)*AC64)/SQRT(1-$L$2),TRUE)</f>
        <v>1.9846951916923504E-2</v>
      </c>
      <c r="AE64" s="3">
        <v>2.2955949880458199E-2</v>
      </c>
    </row>
    <row r="65" spans="1:31" x14ac:dyDescent="0.35">
      <c r="A65" s="1" t="s">
        <v>62</v>
      </c>
      <c r="B65" s="3">
        <v>7.51E-2</v>
      </c>
      <c r="C65" s="4">
        <v>2.14473</v>
      </c>
      <c r="D65" s="4">
        <v>-0.93720999999999999</v>
      </c>
      <c r="E65" s="5">
        <v>11</v>
      </c>
      <c r="F65" s="1">
        <f t="shared" si="0"/>
        <v>-1.4388253927525401</v>
      </c>
      <c r="G65" s="1">
        <v>-1.9602588358553101</v>
      </c>
      <c r="H65" s="1">
        <f t="shared" si="1"/>
        <v>-1.4388248562695112</v>
      </c>
      <c r="I65" s="1">
        <f t="shared" si="6"/>
        <v>2.8781404028708412E-13</v>
      </c>
      <c r="J65" s="25"/>
      <c r="O65" s="8">
        <f t="shared" si="2"/>
        <v>-1.9602588358553101</v>
      </c>
      <c r="P65" s="4">
        <f t="shared" si="3"/>
        <v>2.14473</v>
      </c>
      <c r="Q65" s="5">
        <f t="shared" si="4"/>
        <v>-0.93720999999999999</v>
      </c>
      <c r="R65" s="5">
        <f t="shared" si="5"/>
        <v>11</v>
      </c>
      <c r="Y65" s="20">
        <v>34</v>
      </c>
      <c r="Z65" s="21">
        <v>1.8</v>
      </c>
      <c r="AA65" s="21">
        <v>5.5</v>
      </c>
      <c r="AB65" s="21">
        <v>3.5</v>
      </c>
      <c r="AC65" s="1">
        <f t="shared" si="8"/>
        <v>0.32802009843145785</v>
      </c>
      <c r="AD65" s="3">
        <f t="shared" si="9"/>
        <v>1.9846951916923504E-2</v>
      </c>
      <c r="AE65" s="3">
        <v>2.2049396790625776E-2</v>
      </c>
    </row>
    <row r="66" spans="1:31" x14ac:dyDescent="0.35">
      <c r="A66" s="1" t="s">
        <v>63</v>
      </c>
      <c r="B66" s="3">
        <v>7.2900000000000006E-2</v>
      </c>
      <c r="C66" s="4">
        <v>3.1816200000000001</v>
      </c>
      <c r="D66" s="4">
        <v>-8.2485300000000006</v>
      </c>
      <c r="E66" s="5">
        <v>7.8</v>
      </c>
      <c r="F66" s="1">
        <f t="shared" si="0"/>
        <v>-1.4545279147491266</v>
      </c>
      <c r="G66" s="1">
        <v>-1.9021257268018752</v>
      </c>
      <c r="H66" s="1">
        <f t="shared" si="1"/>
        <v>-1.4545274014091196</v>
      </c>
      <c r="I66" s="1">
        <f t="shared" si="6"/>
        <v>2.635179627321461E-13</v>
      </c>
      <c r="J66" s="25"/>
      <c r="O66" s="8">
        <f t="shared" si="2"/>
        <v>-1.9021257268018752</v>
      </c>
      <c r="P66" s="4">
        <f t="shared" si="3"/>
        <v>3.1816200000000001</v>
      </c>
      <c r="Q66" s="5">
        <f t="shared" si="4"/>
        <v>-8.2485300000000006</v>
      </c>
      <c r="R66" s="5">
        <f t="shared" si="5"/>
        <v>7.8</v>
      </c>
      <c r="Y66" s="1">
        <v>35</v>
      </c>
      <c r="Z66" s="21">
        <v>1.8</v>
      </c>
      <c r="AA66" s="21">
        <v>5.5</v>
      </c>
      <c r="AB66" s="21">
        <v>3.5</v>
      </c>
      <c r="AC66" s="1">
        <f t="shared" si="8"/>
        <v>0.32802009843145785</v>
      </c>
      <c r="AD66" s="3">
        <f t="shared" si="9"/>
        <v>1.9846951916923504E-2</v>
      </c>
      <c r="AE66" s="3">
        <v>2.0771363565000207E-2</v>
      </c>
    </row>
    <row r="67" spans="1:31" x14ac:dyDescent="0.35">
      <c r="A67" s="1" t="s">
        <v>64</v>
      </c>
      <c r="B67" s="3">
        <v>6.1100000000000002E-2</v>
      </c>
      <c r="C67" s="4">
        <v>3.3339699999999999</v>
      </c>
      <c r="D67" s="4">
        <v>8.7738600000000009</v>
      </c>
      <c r="E67" s="5">
        <v>6.7</v>
      </c>
      <c r="F67" s="1">
        <f t="shared" si="0"/>
        <v>-1.5456049707427735</v>
      </c>
      <c r="G67" s="1">
        <v>-1.564944862618654</v>
      </c>
      <c r="H67" s="1">
        <f t="shared" si="1"/>
        <v>-1.5456045487741867</v>
      </c>
      <c r="I67" s="1">
        <f t="shared" si="6"/>
        <v>1.780574881945436E-13</v>
      </c>
      <c r="J67" s="25"/>
      <c r="O67" s="8">
        <f t="shared" si="2"/>
        <v>-1.564944862618654</v>
      </c>
      <c r="P67" s="4">
        <f t="shared" si="3"/>
        <v>3.3339699999999999</v>
      </c>
      <c r="Q67" s="5">
        <f t="shared" si="4"/>
        <v>8.7738600000000009</v>
      </c>
      <c r="R67" s="5">
        <f t="shared" si="5"/>
        <v>6.7</v>
      </c>
      <c r="Y67" s="20">
        <v>36</v>
      </c>
      <c r="Z67" s="21">
        <v>1.8</v>
      </c>
      <c r="AA67" s="21">
        <v>5.5</v>
      </c>
      <c r="AB67" s="21">
        <v>3.5</v>
      </c>
      <c r="AC67" s="1">
        <f t="shared" si="8"/>
        <v>0.32802009843145785</v>
      </c>
      <c r="AD67" s="3">
        <f t="shared" si="9"/>
        <v>1.9846951916923504E-2</v>
      </c>
      <c r="AE67" s="3">
        <v>1.967844517178801E-2</v>
      </c>
    </row>
    <row r="68" spans="1:31" x14ac:dyDescent="0.35">
      <c r="A68" s="1" t="s">
        <v>65</v>
      </c>
      <c r="B68" s="3">
        <v>2.7000000000000003E-2</v>
      </c>
      <c r="C68" s="4">
        <v>4.2018700000000004</v>
      </c>
      <c r="D68" s="4">
        <v>1.7718400000000001</v>
      </c>
      <c r="E68" s="5">
        <v>6.1</v>
      </c>
      <c r="F68" s="1">
        <f t="shared" si="0"/>
        <v>-1.9268365732639106</v>
      </c>
      <c r="G68" s="1">
        <v>-0.15356848873934803</v>
      </c>
      <c r="H68" s="1">
        <f t="shared" si="1"/>
        <v>-1.9268365451472957</v>
      </c>
      <c r="I68" s="1">
        <f t="shared" si="6"/>
        <v>7.9054402860820687E-16</v>
      </c>
      <c r="J68" s="25"/>
      <c r="O68" s="8">
        <f t="shared" si="2"/>
        <v>-0.15356848873934803</v>
      </c>
      <c r="P68" s="4">
        <f t="shared" si="3"/>
        <v>4.2018700000000004</v>
      </c>
      <c r="Q68" s="5">
        <f t="shared" si="4"/>
        <v>1.7718400000000001</v>
      </c>
      <c r="R68" s="5">
        <f t="shared" si="5"/>
        <v>6.1</v>
      </c>
      <c r="Y68" s="1">
        <v>37</v>
      </c>
      <c r="Z68" s="21">
        <v>1.8</v>
      </c>
      <c r="AA68" s="21">
        <v>5.5</v>
      </c>
      <c r="AB68" s="21">
        <v>3.5</v>
      </c>
      <c r="AC68" s="1">
        <f t="shared" si="8"/>
        <v>0.32802009843145785</v>
      </c>
      <c r="AD68" s="3">
        <f t="shared" si="9"/>
        <v>1.9846951916923504E-2</v>
      </c>
      <c r="AE68" s="3">
        <v>1.8462623752530494E-2</v>
      </c>
    </row>
    <row r="69" spans="1:31" x14ac:dyDescent="0.35">
      <c r="A69" s="1" t="s">
        <v>66</v>
      </c>
      <c r="B69" s="3">
        <v>1.8000000000000002E-2</v>
      </c>
      <c r="C69" s="4">
        <v>6.9419899999999997</v>
      </c>
      <c r="D69" s="4">
        <v>2.66452</v>
      </c>
      <c r="E69" s="5">
        <v>5.9</v>
      </c>
      <c r="F69" s="1">
        <f t="shared" ref="F69:F71" si="10">_xlfn.NORM.S.INV(B69)</f>
        <v>-2.0969274291643418</v>
      </c>
      <c r="G69" s="1">
        <v>0.47613226809535375</v>
      </c>
      <c r="H69" s="1">
        <f t="shared" ref="H69:H71" si="11">($L$3-SQRT($L$2)*G69)/SQRT(1-$L$2)</f>
        <v>-2.0969273027146174</v>
      </c>
      <c r="I69" s="1">
        <f t="shared" si="6"/>
        <v>1.5989532818303408E-14</v>
      </c>
      <c r="J69" s="25"/>
      <c r="O69" s="8">
        <f t="shared" ref="O69:O71" si="12">G69</f>
        <v>0.47613226809535375</v>
      </c>
      <c r="P69" s="4">
        <f t="shared" ref="P69:P71" si="13">C69</f>
        <v>6.9419899999999997</v>
      </c>
      <c r="Q69" s="5">
        <f t="shared" ref="Q69:Q71" si="14">D69</f>
        <v>2.66452</v>
      </c>
      <c r="R69" s="5">
        <f t="shared" ref="R69:R71" si="15">E69</f>
        <v>5.9</v>
      </c>
      <c r="Y69" s="20">
        <v>38</v>
      </c>
      <c r="Z69" s="21">
        <v>1.8</v>
      </c>
      <c r="AA69" s="21">
        <v>5.5</v>
      </c>
      <c r="AB69" s="21">
        <v>3.5</v>
      </c>
      <c r="AC69" s="1">
        <f t="shared" si="8"/>
        <v>0.32802009843145785</v>
      </c>
      <c r="AD69" s="3">
        <f t="shared" si="9"/>
        <v>1.9846951916923504E-2</v>
      </c>
      <c r="AE69" s="3">
        <v>1.0994305635914848E-2</v>
      </c>
    </row>
    <row r="70" spans="1:31" x14ac:dyDescent="0.35">
      <c r="A70" s="1" t="s">
        <v>67</v>
      </c>
      <c r="B70" s="3">
        <v>1.1200000000000002E-2</v>
      </c>
      <c r="C70" s="4">
        <v>3.92882</v>
      </c>
      <c r="D70" s="4">
        <v>3.1428500000000001</v>
      </c>
      <c r="E70" s="5">
        <v>4.7</v>
      </c>
      <c r="F70" s="1">
        <f t="shared" si="10"/>
        <v>-2.283515855137193</v>
      </c>
      <c r="G70" s="1">
        <v>1.1669091017785196</v>
      </c>
      <c r="H70" s="1">
        <f t="shared" si="11"/>
        <v>-2.283515541137155</v>
      </c>
      <c r="I70" s="1">
        <f t="shared" ref="I70:I71" si="16">(F70-H70)^2</f>
        <v>9.8596023845717323E-14</v>
      </c>
      <c r="J70" s="25"/>
      <c r="O70" s="8">
        <f t="shared" si="12"/>
        <v>1.1669091017785196</v>
      </c>
      <c r="P70" s="4">
        <f t="shared" si="13"/>
        <v>3.92882</v>
      </c>
      <c r="Q70" s="5">
        <f t="shared" si="14"/>
        <v>3.1428500000000001</v>
      </c>
      <c r="R70" s="5">
        <f t="shared" si="15"/>
        <v>4.7</v>
      </c>
      <c r="Y70" s="1">
        <v>39</v>
      </c>
      <c r="Z70" s="21">
        <v>1.8</v>
      </c>
      <c r="AA70" s="21">
        <v>5.5</v>
      </c>
      <c r="AB70" s="21">
        <v>3.5</v>
      </c>
      <c r="AC70" s="1">
        <f t="shared" si="8"/>
        <v>0.32802009843145785</v>
      </c>
      <c r="AD70" s="3">
        <f t="shared" si="9"/>
        <v>1.9846951916923504E-2</v>
      </c>
      <c r="AE70" s="3">
        <v>1.601627117023657E-2</v>
      </c>
    </row>
    <row r="71" spans="1:31" x14ac:dyDescent="0.35">
      <c r="A71" s="1" t="s">
        <v>68</v>
      </c>
      <c r="B71" s="3">
        <v>1.1200000000000002E-2</v>
      </c>
      <c r="C71" s="4">
        <v>2.63368</v>
      </c>
      <c r="D71" s="4">
        <v>2.3669500000000001</v>
      </c>
      <c r="E71" s="5">
        <v>3.9</v>
      </c>
      <c r="F71" s="1">
        <f t="shared" si="10"/>
        <v>-2.283515855137193</v>
      </c>
      <c r="G71" s="1">
        <v>1.1669090912398286</v>
      </c>
      <c r="H71" s="1">
        <f t="shared" si="11"/>
        <v>-2.2835155382905108</v>
      </c>
      <c r="I71" s="1">
        <f t="shared" si="16"/>
        <v>1.0039182003669633E-13</v>
      </c>
      <c r="J71" s="25"/>
      <c r="O71" s="8">
        <f t="shared" si="12"/>
        <v>1.1669090912398286</v>
      </c>
      <c r="P71" s="4">
        <f t="shared" si="13"/>
        <v>2.63368</v>
      </c>
      <c r="Q71" s="5">
        <f t="shared" si="14"/>
        <v>2.3669500000000001</v>
      </c>
      <c r="R71" s="5">
        <f t="shared" si="15"/>
        <v>3.9</v>
      </c>
      <c r="Y71" s="20">
        <v>40</v>
      </c>
      <c r="Z71" s="21">
        <v>1.8</v>
      </c>
      <c r="AA71" s="21">
        <v>5.5</v>
      </c>
      <c r="AB71" s="21">
        <v>3.5</v>
      </c>
      <c r="AC71" s="1">
        <f t="shared" si="8"/>
        <v>0.32802009843145785</v>
      </c>
      <c r="AD71" s="3">
        <f t="shared" si="9"/>
        <v>1.9846951916923504E-2</v>
      </c>
      <c r="AE71" s="3">
        <v>1.5145586976490297E-2</v>
      </c>
    </row>
    <row r="72" spans="1:31" x14ac:dyDescent="0.35">
      <c r="D72" s="5"/>
      <c r="F72" s="1"/>
      <c r="G72" s="1"/>
      <c r="P72" s="4"/>
      <c r="Q72" s="8"/>
      <c r="R72" s="5"/>
      <c r="Y72" s="1">
        <v>41</v>
      </c>
      <c r="Z72" s="21">
        <v>1.8</v>
      </c>
      <c r="AA72" s="21">
        <v>5.5</v>
      </c>
      <c r="AB72" s="21">
        <v>3.5</v>
      </c>
      <c r="AC72" s="1">
        <f t="shared" si="8"/>
        <v>0.32802009843145785</v>
      </c>
      <c r="AD72" s="3">
        <f t="shared" si="9"/>
        <v>1.9846951916923504E-2</v>
      </c>
      <c r="AE72" s="3">
        <v>1.4386998556615859E-2</v>
      </c>
    </row>
    <row r="73" spans="1:31" x14ac:dyDescent="0.35">
      <c r="G73" s="1"/>
      <c r="Y73" s="20">
        <v>42</v>
      </c>
      <c r="Z73" s="21">
        <v>1.8</v>
      </c>
      <c r="AA73" s="21">
        <v>5.5</v>
      </c>
      <c r="AB73" s="21">
        <v>3.5</v>
      </c>
      <c r="AC73" s="1">
        <f t="shared" si="8"/>
        <v>0.32802009843145785</v>
      </c>
      <c r="AD73" s="3">
        <f t="shared" si="9"/>
        <v>1.9846951916923504E-2</v>
      </c>
      <c r="AE73" s="3">
        <v>1.4035521102136633E-2</v>
      </c>
    </row>
    <row r="74" spans="1:31" x14ac:dyDescent="0.35">
      <c r="G74" s="1"/>
      <c r="Y74" s="1">
        <v>43</v>
      </c>
      <c r="Z74" s="21">
        <v>1.8</v>
      </c>
      <c r="AA74" s="21">
        <v>5.5</v>
      </c>
      <c r="AB74" s="21">
        <v>3.5</v>
      </c>
      <c r="AC74" s="1">
        <f t="shared" si="8"/>
        <v>0.32802009843145785</v>
      </c>
      <c r="AD74" s="3">
        <f t="shared" si="9"/>
        <v>1.9846951916923504E-2</v>
      </c>
      <c r="AE74" s="3">
        <v>1.3893759364215216E-2</v>
      </c>
    </row>
    <row r="75" spans="1:31" x14ac:dyDescent="0.35">
      <c r="G75" s="1"/>
      <c r="Y75" s="20">
        <v>44</v>
      </c>
      <c r="Z75" s="21">
        <v>1.8</v>
      </c>
      <c r="AA75" s="21">
        <v>5.5</v>
      </c>
      <c r="AB75" s="21">
        <v>3.5</v>
      </c>
      <c r="AC75" s="1">
        <f t="shared" si="8"/>
        <v>0.32802009843145785</v>
      </c>
      <c r="AD75" s="3">
        <f t="shared" si="9"/>
        <v>1.9846951916923504E-2</v>
      </c>
      <c r="AE75" s="3">
        <v>1.3319999908728942E-2</v>
      </c>
    </row>
    <row r="76" spans="1:31" x14ac:dyDescent="0.35">
      <c r="G76" s="1"/>
      <c r="Y76" s="1">
        <v>45</v>
      </c>
      <c r="Z76" s="21">
        <v>1.8</v>
      </c>
      <c r="AA76" s="21">
        <v>5.5</v>
      </c>
      <c r="AB76" s="21">
        <v>3.5</v>
      </c>
      <c r="AC76" s="1">
        <f t="shared" si="8"/>
        <v>0.32802009843145785</v>
      </c>
      <c r="AD76" s="3">
        <f t="shared" si="9"/>
        <v>1.9846951916923504E-2</v>
      </c>
      <c r="AE76" s="3">
        <v>1.2882607200549203E-2</v>
      </c>
    </row>
    <row r="77" spans="1:31" x14ac:dyDescent="0.35">
      <c r="G77" s="1"/>
      <c r="Y77" s="20">
        <v>46</v>
      </c>
      <c r="Z77" s="21">
        <v>1.8</v>
      </c>
      <c r="AA77" s="21">
        <v>5.5</v>
      </c>
      <c r="AB77" s="21">
        <v>3.5</v>
      </c>
      <c r="AC77" s="1">
        <f t="shared" si="8"/>
        <v>0.32802009843145785</v>
      </c>
      <c r="AD77" s="3">
        <f t="shared" si="9"/>
        <v>1.9846951916923504E-2</v>
      </c>
      <c r="AE77" s="3">
        <v>1.2289939564590773E-2</v>
      </c>
    </row>
    <row r="78" spans="1:31" x14ac:dyDescent="0.35">
      <c r="G78" s="1"/>
      <c r="Y78" s="1">
        <v>47</v>
      </c>
      <c r="Z78" s="21">
        <v>1.8</v>
      </c>
      <c r="AA78" s="21">
        <v>5.5</v>
      </c>
      <c r="AB78" s="21">
        <v>3.5</v>
      </c>
      <c r="AC78" s="1">
        <f t="shared" si="8"/>
        <v>0.32802009843145785</v>
      </c>
      <c r="AD78" s="3">
        <f t="shared" si="9"/>
        <v>1.9846951916923504E-2</v>
      </c>
      <c r="AE78" s="3">
        <v>1.1380510617574054E-2</v>
      </c>
    </row>
    <row r="79" spans="1:31" x14ac:dyDescent="0.35">
      <c r="Y79" s="20">
        <v>48</v>
      </c>
      <c r="Z79" s="21">
        <v>1.8</v>
      </c>
      <c r="AA79" s="21">
        <v>5.5</v>
      </c>
      <c r="AB79" s="21">
        <v>3.5</v>
      </c>
      <c r="AC79" s="1">
        <f t="shared" si="8"/>
        <v>0.32802009843145785</v>
      </c>
      <c r="AD79" s="3">
        <f t="shared" si="9"/>
        <v>1.9846951916923504E-2</v>
      </c>
      <c r="AE79" s="3">
        <v>1.1380510617574054E-2</v>
      </c>
    </row>
    <row r="80" spans="1:31" x14ac:dyDescent="0.35">
      <c r="Y80" s="1">
        <v>49</v>
      </c>
      <c r="Z80" s="21">
        <v>1.8</v>
      </c>
      <c r="AA80" s="21">
        <v>5.5</v>
      </c>
      <c r="AB80" s="21">
        <v>3.5</v>
      </c>
      <c r="AC80" s="1">
        <f t="shared" si="8"/>
        <v>0.32802009843145785</v>
      </c>
      <c r="AD80" s="3">
        <f t="shared" si="9"/>
        <v>1.9846951916923504E-2</v>
      </c>
      <c r="AE80" s="3">
        <v>1.0994305635914848E-2</v>
      </c>
    </row>
    <row r="81" spans="25:31" x14ac:dyDescent="0.35">
      <c r="Y81" s="20">
        <v>50</v>
      </c>
      <c r="Z81" s="21">
        <v>1.8</v>
      </c>
      <c r="AA81" s="21">
        <v>5.5</v>
      </c>
      <c r="AB81" s="21">
        <v>3.5</v>
      </c>
      <c r="AC81" s="1">
        <f t="shared" si="8"/>
        <v>0.32802009843145785</v>
      </c>
      <c r="AD81" s="3">
        <f t="shared" si="9"/>
        <v>1.9846951916923504E-2</v>
      </c>
      <c r="AE81" s="3">
        <v>1.0916548916186685E-2</v>
      </c>
    </row>
    <row r="82" spans="25:31" x14ac:dyDescent="0.35">
      <c r="Y82" s="1">
        <v>51</v>
      </c>
      <c r="Z82" s="21">
        <v>1.8</v>
      </c>
      <c r="AA82" s="21">
        <v>5.5</v>
      </c>
      <c r="AB82" s="21">
        <v>3.5</v>
      </c>
      <c r="AC82" s="1">
        <f t="shared" si="8"/>
        <v>0.32802009843145785</v>
      </c>
      <c r="AD82" s="3">
        <f t="shared" si="9"/>
        <v>1.9846951916923504E-2</v>
      </c>
      <c r="AE82" s="3">
        <v>1.0994305635914848E-2</v>
      </c>
    </row>
    <row r="83" spans="25:31" x14ac:dyDescent="0.35">
      <c r="Y83" s="20">
        <v>52</v>
      </c>
      <c r="Z83" s="21">
        <v>1.8</v>
      </c>
      <c r="AA83" s="21">
        <v>5.5</v>
      </c>
      <c r="AB83" s="21">
        <v>3.5</v>
      </c>
      <c r="AC83" s="1">
        <f t="shared" si="8"/>
        <v>0.32802009843145785</v>
      </c>
      <c r="AD83" s="3">
        <f t="shared" si="9"/>
        <v>1.9846951916923504E-2</v>
      </c>
      <c r="AE83" s="3">
        <v>1.0208975419287735E-2</v>
      </c>
    </row>
    <row r="84" spans="25:31" x14ac:dyDescent="0.35">
      <c r="Y84" s="1">
        <v>53</v>
      </c>
      <c r="Z84" s="21">
        <v>1.8</v>
      </c>
      <c r="AA84" s="21">
        <v>5.5</v>
      </c>
      <c r="AB84" s="21">
        <v>3.5</v>
      </c>
      <c r="AC84" s="1">
        <f t="shared" si="8"/>
        <v>0.32802009843145785</v>
      </c>
      <c r="AD84" s="3">
        <f t="shared" si="9"/>
        <v>1.9846951916923504E-2</v>
      </c>
      <c r="AE84" s="3">
        <v>1.9509055850834411E-2</v>
      </c>
    </row>
    <row r="85" spans="25:31" x14ac:dyDescent="0.35">
      <c r="Y85" s="20">
        <v>54</v>
      </c>
      <c r="Z85" s="21">
        <v>1.8</v>
      </c>
      <c r="AA85" s="21">
        <v>5.5</v>
      </c>
      <c r="AB85" s="21">
        <v>3.5</v>
      </c>
      <c r="AC85" s="1">
        <f t="shared" si="8"/>
        <v>0.32802009843145785</v>
      </c>
      <c r="AD85" s="3">
        <f t="shared" si="9"/>
        <v>1.9846951916923504E-2</v>
      </c>
      <c r="AE85" s="3">
        <v>1.8343154661460435E-2</v>
      </c>
    </row>
    <row r="86" spans="25:31" x14ac:dyDescent="0.35">
      <c r="Y86" s="1">
        <v>55</v>
      </c>
      <c r="Z86" s="21">
        <v>1.8</v>
      </c>
      <c r="AA86" s="21">
        <v>5.5</v>
      </c>
      <c r="AB86" s="21">
        <v>3.5</v>
      </c>
      <c r="AC86" s="1">
        <f t="shared" si="8"/>
        <v>0.32802009843145785</v>
      </c>
      <c r="AD86" s="3">
        <f t="shared" si="9"/>
        <v>1.9846951916923504E-2</v>
      </c>
      <c r="AE86" s="3">
        <v>1.5550905606593305E-2</v>
      </c>
    </row>
    <row r="87" spans="25:31" x14ac:dyDescent="0.35">
      <c r="Y87" s="20">
        <v>56</v>
      </c>
      <c r="Z87" s="21">
        <v>1.8</v>
      </c>
      <c r="AA87" s="21">
        <v>5.5</v>
      </c>
      <c r="AB87" s="21">
        <v>3.5</v>
      </c>
      <c r="AC87" s="1">
        <f t="shared" si="8"/>
        <v>0.32802009843145785</v>
      </c>
      <c r="AD87" s="3">
        <f t="shared" si="9"/>
        <v>1.9846951916923504E-2</v>
      </c>
      <c r="AE87" s="3">
        <v>1.8162746183584318E-2</v>
      </c>
    </row>
    <row r="88" spans="25:31" x14ac:dyDescent="0.35">
      <c r="Y88" s="1">
        <v>57</v>
      </c>
      <c r="Z88" s="21">
        <v>1.8</v>
      </c>
      <c r="AA88" s="21">
        <v>5.5</v>
      </c>
      <c r="AB88" s="21">
        <v>3.5</v>
      </c>
      <c r="AC88" s="1">
        <f t="shared" si="8"/>
        <v>0.32802009843145785</v>
      </c>
      <c r="AD88" s="3">
        <f t="shared" si="9"/>
        <v>1.9846951916923504E-2</v>
      </c>
      <c r="AE88" s="3">
        <v>2.1651008042568143E-2</v>
      </c>
    </row>
    <row r="89" spans="25:31" x14ac:dyDescent="0.35">
      <c r="Y89" s="20">
        <v>58</v>
      </c>
      <c r="Z89" s="21">
        <v>1.8</v>
      </c>
      <c r="AA89" s="21">
        <v>5.5</v>
      </c>
      <c r="AB89" s="21">
        <v>3.5</v>
      </c>
      <c r="AC89" s="1">
        <f t="shared" si="8"/>
        <v>0.32802009843145785</v>
      </c>
      <c r="AD89" s="3">
        <f t="shared" si="9"/>
        <v>1.9846951916923504E-2</v>
      </c>
      <c r="AE89" s="3">
        <v>2.1499051025550234E-2</v>
      </c>
    </row>
    <row r="90" spans="25:31" x14ac:dyDescent="0.35">
      <c r="Y90" s="1">
        <v>59</v>
      </c>
      <c r="Z90" s="21">
        <v>1.8</v>
      </c>
      <c r="AA90" s="21">
        <v>5.5</v>
      </c>
      <c r="AB90" s="21">
        <v>3.5</v>
      </c>
      <c r="AC90" s="1">
        <f t="shared" si="8"/>
        <v>0.32802009843145785</v>
      </c>
      <c r="AD90" s="3">
        <f t="shared" si="9"/>
        <v>1.9846951916923504E-2</v>
      </c>
      <c r="AE90" s="3">
        <v>2.444040875387753E-2</v>
      </c>
    </row>
    <row r="91" spans="25:31" x14ac:dyDescent="0.35">
      <c r="Y91" s="20">
        <v>60</v>
      </c>
      <c r="Z91" s="21">
        <v>1.8</v>
      </c>
      <c r="AA91" s="21">
        <v>5.5</v>
      </c>
      <c r="AB91" s="21">
        <v>3.5</v>
      </c>
      <c r="AC91" s="1">
        <f t="shared" si="8"/>
        <v>0.32802009843145785</v>
      </c>
      <c r="AD91" s="3">
        <f t="shared" si="9"/>
        <v>1.9846951916923504E-2</v>
      </c>
      <c r="AE91" s="3">
        <v>2.7307457107847721E-2</v>
      </c>
    </row>
    <row r="92" spans="25:31" x14ac:dyDescent="0.35">
      <c r="Y92" s="1">
        <v>61</v>
      </c>
      <c r="Z92" s="21">
        <v>1.8</v>
      </c>
      <c r="AA92" s="21">
        <v>5.5</v>
      </c>
      <c r="AB92" s="21">
        <v>3.5</v>
      </c>
      <c r="AC92" s="1">
        <f t="shared" si="8"/>
        <v>0.32802009843145785</v>
      </c>
      <c r="AD92" s="3">
        <f t="shared" si="9"/>
        <v>1.9846951916923504E-2</v>
      </c>
      <c r="AE92" s="3">
        <v>3.0013489632323628E-2</v>
      </c>
    </row>
    <row r="93" spans="25:31" x14ac:dyDescent="0.35">
      <c r="Y93" s="20">
        <v>62</v>
      </c>
      <c r="Z93" s="21">
        <v>1.8</v>
      </c>
      <c r="AA93" s="21">
        <v>5.5</v>
      </c>
      <c r="AB93" s="21">
        <v>3.5</v>
      </c>
      <c r="AC93" s="1">
        <f t="shared" si="8"/>
        <v>0.32802009843145785</v>
      </c>
      <c r="AD93" s="3">
        <f t="shared" si="9"/>
        <v>1.9846951916923504E-2</v>
      </c>
      <c r="AE93" s="3">
        <v>2.9275452342582147E-2</v>
      </c>
    </row>
    <row r="94" spans="25:31" x14ac:dyDescent="0.35">
      <c r="Y94" s="1">
        <v>63</v>
      </c>
      <c r="Z94" s="21">
        <v>1.8</v>
      </c>
      <c r="AA94" s="21">
        <v>5.5</v>
      </c>
      <c r="AB94" s="21">
        <v>3.5</v>
      </c>
      <c r="AC94" s="1">
        <f t="shared" si="8"/>
        <v>0.32802009843145785</v>
      </c>
      <c r="AD94" s="3">
        <f t="shared" si="9"/>
        <v>1.9846951916923504E-2</v>
      </c>
      <c r="AE94" s="3">
        <v>2.9599989046363649E-2</v>
      </c>
    </row>
    <row r="95" spans="25:31" x14ac:dyDescent="0.35">
      <c r="Y95" s="20">
        <v>64</v>
      </c>
      <c r="Z95" s="21">
        <v>1.8</v>
      </c>
      <c r="AA95" s="21">
        <v>5.5</v>
      </c>
      <c r="AB95" s="21">
        <v>3.5</v>
      </c>
      <c r="AC95" s="1">
        <f t="shared" si="8"/>
        <v>0.32802009843145785</v>
      </c>
      <c r="AD95" s="3">
        <f t="shared" si="9"/>
        <v>1.9846951916923504E-2</v>
      </c>
      <c r="AE95" s="3">
        <v>3.0167478046673395E-2</v>
      </c>
    </row>
    <row r="96" spans="25:31" x14ac:dyDescent="0.35">
      <c r="Y96" s="1">
        <v>65</v>
      </c>
      <c r="Z96" s="21">
        <v>1.8</v>
      </c>
      <c r="AA96" s="21">
        <v>5.5</v>
      </c>
      <c r="AB96" s="21">
        <v>3.5</v>
      </c>
      <c r="AC96" s="1">
        <f t="shared" si="8"/>
        <v>0.32802009843145785</v>
      </c>
      <c r="AD96" s="3">
        <f t="shared" ref="AD96:AD99" si="17">_xlfn.NORM.S.DIST(($L$3-SQRT($L$2)*AC96)/SQRT(1-$L$2),TRUE)</f>
        <v>1.9846951916923504E-2</v>
      </c>
      <c r="AE96" s="3">
        <v>2.0557818816997701E-2</v>
      </c>
    </row>
    <row r="97" spans="25:31" x14ac:dyDescent="0.35">
      <c r="Y97" s="20">
        <v>66</v>
      </c>
      <c r="Z97" s="21">
        <v>1.8</v>
      </c>
      <c r="AA97" s="21">
        <v>5.5</v>
      </c>
      <c r="AB97" s="21">
        <v>3.5</v>
      </c>
      <c r="AC97" s="1">
        <f t="shared" ref="AC97:AC99" si="18">$Y$21+AB97*$Y$22+Z97*$Y$23+AA97*$Y$24</f>
        <v>0.32802009843145785</v>
      </c>
      <c r="AD97" s="3">
        <f t="shared" si="17"/>
        <v>1.9846951916923504E-2</v>
      </c>
      <c r="AE97" s="3">
        <v>1.5077454751868806E-2</v>
      </c>
    </row>
    <row r="98" spans="25:31" x14ac:dyDescent="0.35">
      <c r="Y98" s="1">
        <v>67</v>
      </c>
      <c r="Z98" s="21">
        <v>1.8</v>
      </c>
      <c r="AA98" s="21">
        <v>5.5</v>
      </c>
      <c r="AB98" s="21">
        <v>3.5</v>
      </c>
      <c r="AC98" s="1">
        <f t="shared" si="18"/>
        <v>0.32802009843145785</v>
      </c>
      <c r="AD98" s="3">
        <f t="shared" si="17"/>
        <v>1.9846951916923504E-2</v>
      </c>
      <c r="AE98" s="3">
        <v>1.0049833842771515E-2</v>
      </c>
    </row>
    <row r="99" spans="25:31" x14ac:dyDescent="0.35">
      <c r="Y99" s="20">
        <v>68</v>
      </c>
      <c r="Z99" s="21">
        <v>1.8</v>
      </c>
      <c r="AA99" s="21">
        <v>5.5</v>
      </c>
      <c r="AB99" s="21">
        <v>3.5</v>
      </c>
      <c r="AC99" s="1">
        <f t="shared" si="18"/>
        <v>0.32802009843145785</v>
      </c>
      <c r="AD99" s="3">
        <f t="shared" si="17"/>
        <v>1.9846951916923504E-2</v>
      </c>
      <c r="AE99" s="3">
        <v>1.0049833842771515E-2</v>
      </c>
    </row>
    <row r="100" spans="25:31" x14ac:dyDescent="0.35">
      <c r="Y100" s="1"/>
    </row>
    <row r="101" spans="25:31" x14ac:dyDescent="0.35">
      <c r="Y101" s="20"/>
    </row>
    <row r="102" spans="25:31" x14ac:dyDescent="0.35">
      <c r="Y102" s="1"/>
    </row>
    <row r="103" spans="25:31" x14ac:dyDescent="0.35">
      <c r="Y103" s="20"/>
    </row>
    <row r="104" spans="25:31" x14ac:dyDescent="0.35">
      <c r="Y104" s="1"/>
    </row>
    <row r="105" spans="25:31" x14ac:dyDescent="0.35">
      <c r="Y105" s="20"/>
    </row>
    <row r="106" spans="25:31" x14ac:dyDescent="0.35">
      <c r="Y106" s="1"/>
    </row>
    <row r="107" spans="25:31" x14ac:dyDescent="0.35">
      <c r="Y107" s="20"/>
    </row>
    <row r="108" spans="25:31" x14ac:dyDescent="0.35">
      <c r="Y108" s="1"/>
    </row>
    <row r="109" spans="25:31" x14ac:dyDescent="0.35">
      <c r="Y109" s="20"/>
    </row>
    <row r="110" spans="25:31" x14ac:dyDescent="0.35">
      <c r="Y110" s="1"/>
    </row>
    <row r="111" spans="25:31" x14ac:dyDescent="0.35">
      <c r="Y111" s="20"/>
    </row>
    <row r="112" spans="25:31" x14ac:dyDescent="0.35">
      <c r="Y112" s="1"/>
    </row>
    <row r="113" spans="25:25" x14ac:dyDescent="0.35">
      <c r="Y113" s="20"/>
    </row>
    <row r="114" spans="25:25" x14ac:dyDescent="0.35">
      <c r="Y114" s="1"/>
    </row>
    <row r="115" spans="25:25" x14ac:dyDescent="0.35">
      <c r="Y115" s="20"/>
    </row>
    <row r="116" spans="25:25" x14ac:dyDescent="0.35">
      <c r="Y116" s="1"/>
    </row>
    <row r="117" spans="25:25" x14ac:dyDescent="0.35">
      <c r="Y117" s="20"/>
    </row>
    <row r="118" spans="25:25" x14ac:dyDescent="0.35">
      <c r="Y118" s="1"/>
    </row>
    <row r="119" spans="25:25" x14ac:dyDescent="0.35">
      <c r="Y119" s="20"/>
    </row>
    <row r="120" spans="25:25" x14ac:dyDescent="0.35">
      <c r="Y120" s="1"/>
    </row>
    <row r="121" spans="25:25" x14ac:dyDescent="0.35">
      <c r="Y121" s="20"/>
    </row>
    <row r="122" spans="25:25" x14ac:dyDescent="0.35">
      <c r="Y122" s="1"/>
    </row>
    <row r="123" spans="25:25" x14ac:dyDescent="0.35">
      <c r="Y123" s="20"/>
    </row>
    <row r="124" spans="25:25" x14ac:dyDescent="0.35">
      <c r="Y124" s="1"/>
    </row>
    <row r="125" spans="25:25" x14ac:dyDescent="0.35">
      <c r="Y125" s="20"/>
    </row>
    <row r="126" spans="25:25" x14ac:dyDescent="0.35">
      <c r="Y126" s="1"/>
    </row>
    <row r="127" spans="25:25" x14ac:dyDescent="0.35">
      <c r="Y127" s="20"/>
    </row>
    <row r="128" spans="25:25" x14ac:dyDescent="0.35">
      <c r="Y128" s="1"/>
    </row>
    <row r="129" spans="25:25" x14ac:dyDescent="0.35">
      <c r="Y129" s="20"/>
    </row>
    <row r="130" spans="25:25" x14ac:dyDescent="0.35">
      <c r="Y130" s="1"/>
    </row>
    <row r="131" spans="25:25" x14ac:dyDescent="0.35">
      <c r="Y131" s="20"/>
    </row>
    <row r="132" spans="25:25" x14ac:dyDescent="0.35">
      <c r="Y132" s="1"/>
    </row>
    <row r="133" spans="25:25" x14ac:dyDescent="0.35">
      <c r="Y133" s="20"/>
    </row>
    <row r="134" spans="25:25" x14ac:dyDescent="0.35">
      <c r="Y134" s="1"/>
    </row>
    <row r="135" spans="25:25" x14ac:dyDescent="0.35">
      <c r="Y135" s="20"/>
    </row>
    <row r="136" spans="25:25" x14ac:dyDescent="0.35">
      <c r="Y136" s="1"/>
    </row>
    <row r="137" spans="25:25" x14ac:dyDescent="0.35">
      <c r="Y137" s="20"/>
    </row>
    <row r="138" spans="25:25" x14ac:dyDescent="0.35">
      <c r="Y138" s="1"/>
    </row>
    <row r="139" spans="25:25" x14ac:dyDescent="0.35">
      <c r="Y139" s="20"/>
    </row>
    <row r="140" spans="25:25" x14ac:dyDescent="0.35">
      <c r="Y140" s="1"/>
    </row>
    <row r="141" spans="25:25" x14ac:dyDescent="0.35">
      <c r="Y141" s="20"/>
    </row>
    <row r="142" spans="25:25" x14ac:dyDescent="0.35">
      <c r="Y142" s="1"/>
    </row>
    <row r="143" spans="25:25" x14ac:dyDescent="0.35">
      <c r="Y143" s="20"/>
    </row>
    <row r="144" spans="25:25" x14ac:dyDescent="0.35">
      <c r="Y144" s="1"/>
    </row>
    <row r="145" spans="25:25" x14ac:dyDescent="0.35">
      <c r="Y145" s="20"/>
    </row>
    <row r="146" spans="25:25" x14ac:dyDescent="0.35">
      <c r="Y146" s="1"/>
    </row>
    <row r="147" spans="25:25" x14ac:dyDescent="0.35">
      <c r="Y147" s="20"/>
    </row>
    <row r="148" spans="25:25" x14ac:dyDescent="0.35">
      <c r="Y148" s="1"/>
    </row>
    <row r="149" spans="25:25" x14ac:dyDescent="0.35">
      <c r="Y149" s="20"/>
    </row>
    <row r="150" spans="25:25" x14ac:dyDescent="0.35">
      <c r="Y150" s="1"/>
    </row>
    <row r="151" spans="25:25" x14ac:dyDescent="0.35">
      <c r="Y151" s="20"/>
    </row>
    <row r="152" spans="25:25" x14ac:dyDescent="0.35">
      <c r="Y152" s="1"/>
    </row>
    <row r="153" spans="25:25" x14ac:dyDescent="0.35">
      <c r="Y153" s="20"/>
    </row>
    <row r="154" spans="25:25" x14ac:dyDescent="0.35">
      <c r="Y154" s="1"/>
    </row>
    <row r="155" spans="25:25" x14ac:dyDescent="0.35">
      <c r="Y155" s="20"/>
    </row>
    <row r="156" spans="25:25" x14ac:dyDescent="0.35">
      <c r="Y156" s="1"/>
    </row>
    <row r="157" spans="25:25" x14ac:dyDescent="0.35">
      <c r="Y157" s="20"/>
    </row>
    <row r="158" spans="25:25" x14ac:dyDescent="0.35">
      <c r="Y158" s="1"/>
    </row>
    <row r="159" spans="25:25" x14ac:dyDescent="0.35">
      <c r="Y159" s="20"/>
    </row>
    <row r="160" spans="25:25" x14ac:dyDescent="0.35">
      <c r="Y160" s="1"/>
    </row>
    <row r="161" spans="25:25" x14ac:dyDescent="0.35">
      <c r="Y161" s="20"/>
    </row>
    <row r="162" spans="25:25" x14ac:dyDescent="0.35">
      <c r="Y162" s="1"/>
    </row>
    <row r="163" spans="25:25" x14ac:dyDescent="0.35">
      <c r="Y163" s="20"/>
    </row>
    <row r="164" spans="25:25" x14ac:dyDescent="0.35">
      <c r="Y164" s="1"/>
    </row>
    <row r="165" spans="25:25" x14ac:dyDescent="0.35">
      <c r="Y165" s="20"/>
    </row>
    <row r="166" spans="25:25" x14ac:dyDescent="0.35">
      <c r="Y166" s="1"/>
    </row>
    <row r="167" spans="25:25" x14ac:dyDescent="0.35">
      <c r="Y167" s="20"/>
    </row>
    <row r="168" spans="25:25" x14ac:dyDescent="0.35">
      <c r="Y168" s="1"/>
    </row>
    <row r="169" spans="25:25" x14ac:dyDescent="0.35">
      <c r="Y169" s="20"/>
    </row>
    <row r="170" spans="25:25" x14ac:dyDescent="0.35">
      <c r="Y170" s="1"/>
    </row>
  </sheetData>
  <sheetProtection algorithmName="SHA-512" hashValue="wMq6ialEwCG4Qeb2qzlcfe6KfAn3WGsiUPyu6CHzQYrCpBIohGga90gUQJZhcSnx1Ui5tH5xePAMJ9r9JRaG7Q==" saltValue="WHB1QKQNufEtjocN8HIU0w==" spinCount="100000" sheet="1" objects="1" scenarios="1" selectLockedCells="1" selectUnlockedCell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TOPIC</vt:lpstr>
      <vt:lpstr>Raw data</vt:lpstr>
      <vt:lpstr>Forcasts_MEV</vt:lpstr>
      <vt:lpstr>Z( Systematic factor)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Ankit •</dc:creator>
  <cp:lastModifiedBy>ananya Chowdhury</cp:lastModifiedBy>
  <dcterms:created xsi:type="dcterms:W3CDTF">2015-06-05T18:17:20Z</dcterms:created>
  <dcterms:modified xsi:type="dcterms:W3CDTF">2025-12-02T14:28:35Z</dcterms:modified>
</cp:coreProperties>
</file>